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89344A-8DB5-4258-A633-2438CB065AD1}" xr6:coauthVersionLast="47" xr6:coauthVersionMax="47" xr10:uidLastSave="{00000000-0000-0000-0000-000000000000}"/>
  <bookViews>
    <workbookView xWindow="-120" yWindow="-120" windowWidth="29040" windowHeight="15720" activeTab="4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ERVICE CHARGE" sheetId="11" r:id="rId5"/>
    <sheet name="SUMMARY" sheetId="5" state="hidden" r:id="rId6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9" l="1"/>
  <c r="F34" i="6" l="1"/>
  <c r="F29" i="7"/>
  <c r="F9" i="8"/>
  <c r="H9" i="8"/>
  <c r="G9" i="8"/>
  <c r="C3" i="8"/>
  <c r="C2" i="8"/>
  <c r="I9" i="8" l="1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8" i="9" l="1"/>
  <c r="A26" i="6" l="1"/>
  <c r="A27" i="6" s="1"/>
  <c r="A28" i="6" s="1"/>
  <c r="A29" i="6" s="1"/>
  <c r="A30" i="6" s="1"/>
  <c r="A31" i="6" s="1"/>
  <c r="A7" i="6" s="1"/>
  <c r="A8" i="6" s="1"/>
  <c r="A14" i="7" l="1"/>
  <c r="A17" i="7"/>
  <c r="A18" i="7" s="1"/>
  <c r="A19" i="7" s="1"/>
  <c r="A15" i="7" l="1"/>
  <c r="A10" i="7"/>
  <c r="A11" i="7" s="1"/>
  <c r="A14" i="6" l="1"/>
  <c r="A22" i="6"/>
  <c r="A23" i="6" s="1"/>
  <c r="A24" i="6" s="1"/>
  <c r="A10" i="6"/>
  <c r="A11" i="6" s="1"/>
  <c r="A12" i="6" s="1"/>
  <c r="A15" i="6" l="1"/>
  <c r="A16" i="6" s="1"/>
  <c r="A18" i="6" s="1"/>
  <c r="A19" i="6" s="1"/>
  <c r="A20" i="6" s="1"/>
  <c r="A21" i="7" l="1"/>
  <c r="A22" i="7" s="1"/>
</calcChain>
</file>

<file path=xl/sharedStrings.xml><?xml version="1.0" encoding="utf-8"?>
<sst xmlns="http://schemas.openxmlformats.org/spreadsheetml/2006/main" count="602" uniqueCount="214">
  <si>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</si>
  <si>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</si>
  <si>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</si>
  <si>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</si>
  <si>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</si>
  <si>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</si>
  <si>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</si>
  <si>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</si>
  <si>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</si>
  <si>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</si>
  <si>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</si>
  <si>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</si>
  <si>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</si>
  <si>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</si>
  <si>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</si>
  <si>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</si>
  <si>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</si>
  <si>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</si>
  <si>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</si>
  <si>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</si>
  <si>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</si>
  <si>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</si>
  <si>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</si>
  <si>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</si>
  <si>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</si>
  <si>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</si>
  <si>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</si>
  <si>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</si>
  <si>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</si>
  <si>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</si>
  <si>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</si>
  <si>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</si>
  <si>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</si>
  <si>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</si>
  <si>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</si>
  <si>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</si>
  <si>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</si>
  <si>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</si>
  <si>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</si>
  <si>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</si>
  <si>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</si>
  <si>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</si>
  <si>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</si>
  <si>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</si>
  <si>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</si>
  <si>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</si>
  <si>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</si>
  <si>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</si>
  <si>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</si>
  <si>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</si>
  <si>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</si>
  <si>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</si>
  <si>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</si>
  <si>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</si>
  <si>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</si>
  <si>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</si>
  <si>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</si>
  <si>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</si>
  <si>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</si>
  <si>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</si>
  <si>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</si>
  <si>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</si>
  <si>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</si>
  <si>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</si>
  <si>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</si>
  <si>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</si>
  <si>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</si>
  <si>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</si>
  <si>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</si>
  <si>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</si>
  <si>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</si>
  <si>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</si>
  <si>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</si>
  <si>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</si>
  <si>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</si>
  <si>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</si>
  <si>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</si>
  <si>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</si>
  <si>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</si>
  <si>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</si>
  <si>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</si>
  <si>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</si>
  <si>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</si>
  <si>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</si>
  <si>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</si>
  <si>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</si>
  <si>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</si>
  <si>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</si>
  <si>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</si>
  <si>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</si>
  <si>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</si>
  <si>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</si>
  <si>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</si>
  <si>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</si>
  <si>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</si>
  <si>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</si>
  <si>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</si>
  <si>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</si>
  <si>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</si>
  <si>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</si>
  <si>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</si>
  <si>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</si>
  <si>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</si>
  <si>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</si>
  <si>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</si>
  <si>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</si>
  <si>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</si>
  <si>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</si>
  <si>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</si>
  <si>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</si>
  <si>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</si>
  <si>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</si>
  <si>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</si>
  <si>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</si>
  <si>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</si>
  <si>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</si>
  <si>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</si>
  <si>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</si>
  <si>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</si>
  <si>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</si>
  <si>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</si>
  <si>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</si>
  <si>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</si>
  <si>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</si>
  <si>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</si>
  <si>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</si>
  <si>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</si>
  <si>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</si>
  <si>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</si>
  <si>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</si>
  <si>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</si>
  <si>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</si>
  <si>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</si>
  <si>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</si>
  <si>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</si>
  <si>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</si>
  <si>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</si>
  <si>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</si>
  <si>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</si>
  <si>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</si>
  <si>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</si>
  <si>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</si>
  <si>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</si>
  <si>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</si>
  <si>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</si>
  <si>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</si>
  <si>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</si>
  <si>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</si>
  <si>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</si>
  <si>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</si>
  <si>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</si>
  <si>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</si>
  <si>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</si>
  <si>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</si>
  <si>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</si>
  <si>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</si>
  <si>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</si>
  <si>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</si>
  <si>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</si>
  <si>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</si>
  <si>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</si>
  <si>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</si>
  <si>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</si>
  <si>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</si>
  <si>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</si>
  <si>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</si>
  <si>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</si>
  <si>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</si>
  <si>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</si>
  <si>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Germickson</t>
  </si>
  <si>
    <t>Fritz</t>
  </si>
  <si>
    <t>Martin</t>
  </si>
  <si>
    <t>George</t>
  </si>
  <si>
    <t>Setik</t>
  </si>
  <si>
    <t>Kaya</t>
  </si>
  <si>
    <t>Tubiera</t>
  </si>
  <si>
    <t>Sipia</t>
  </si>
  <si>
    <t>K-Sanean</t>
  </si>
  <si>
    <t>J-one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</si>
  <si>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</si>
  <si>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</si>
  <si>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</si>
  <si>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</si>
  <si>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</si>
  <si>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</si>
  <si>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</si>
  <si>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</si>
  <si>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</si>
  <si>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</si>
  <si>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</si>
  <si>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</si>
  <si>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</si>
  <si>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</si>
  <si>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</si>
  <si>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</si>
  <si>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</si>
  <si>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Cienna Riley</t>
  </si>
  <si>
    <t>J-One</t>
  </si>
  <si>
    <t>Beginning Balance as of PPE 1/24/2026</t>
  </si>
  <si>
    <t>Aaron</t>
  </si>
  <si>
    <t>JOINT</t>
  </si>
  <si>
    <t>Dennis</t>
  </si>
  <si>
    <t>Heather</t>
  </si>
  <si>
    <t>Elaine</t>
  </si>
  <si>
    <t>Jason</t>
  </si>
  <si>
    <t>Nena</t>
  </si>
  <si>
    <t>Regina</t>
  </si>
  <si>
    <t>Stephanie</t>
  </si>
  <si>
    <t>Verna</t>
  </si>
  <si>
    <t>Vincent</t>
  </si>
  <si>
    <t>Cason</t>
  </si>
  <si>
    <t>Chad</t>
  </si>
  <si>
    <t xml:space="preserve">Ryan </t>
  </si>
  <si>
    <t>Sonia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</si>
</sst>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8" fillId="3" borderId="0" xfId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44" fontId="8" fillId="5" borderId="1" xfId="1" applyFont="1" applyFill="1" applyBorder="1" applyAlignment="1">
      <alignment horizontal="center" wrapText="1"/>
    </xf>
    <xf numFmtId="0" fontId="12" fillId="0" borderId="0" xfId="0" applyFont="1"/>
    <xf numFmtId="0" fontId="13" fillId="6" borderId="0" xfId="0" applyFont="1" applyFill="1"/>
    <xf numFmtId="0" fontId="11" fillId="7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opLeftCell="A7" zoomScale="110" zoomScaleNormal="110" workbookViewId="0">
      <selection activeCell="F33" sqref="F33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6" x14ac:dyDescent="0.25">
      <c r="A1" s="1" t="s">
        <v>121</v>
      </c>
      <c r="F1"/>
    </row>
    <row r="2" spans="1:6" x14ac:dyDescent="0.25">
      <c r="A2" s="2" t="s">
        <v>122</v>
      </c>
      <c r="B2" s="2"/>
      <c r="C2" s="23">
        <v>46074</v>
      </c>
    </row>
    <row r="3" spans="1:6" x14ac:dyDescent="0.25">
      <c r="A3" s="2" t="s">
        <v>123</v>
      </c>
      <c r="B3" s="2"/>
      <c r="C3" s="23">
        <v>46079</v>
      </c>
    </row>
    <row r="4" spans="1:6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6" s="22" customFormat="1" ht="15.75" x14ac:dyDescent="0.25">
      <c r="A5" s="6"/>
      <c r="B5" s="21"/>
      <c r="C5" s="21"/>
      <c r="D5" s="21"/>
      <c r="E5" s="6"/>
      <c r="F5" s="18"/>
    </row>
    <row r="6" spans="1:6" s="8" customFormat="1" ht="15.75" x14ac:dyDescent="0.25">
      <c r="A6" s="7">
        <v>1</v>
      </c>
      <c r="B6" s="4"/>
      <c r="C6" s="4" t="s">
        <v>166</v>
      </c>
      <c r="D6" s="4" t="s">
        <v>167</v>
      </c>
      <c r="E6" s="7" t="s">
        <v>11</v>
      </c>
      <c r="F6" s="46">
        <v>112.07</v>
      </c>
    </row>
    <row r="7" spans="1:6" s="8" customFormat="1" ht="15.75" x14ac:dyDescent="0.25">
      <c r="A7" s="7">
        <f>A6+1</f>
        <v>2</v>
      </c>
      <c r="B7" s="4"/>
      <c r="C7" s="4" t="s">
        <v>190</v>
      </c>
      <c r="D7" s="4" t="s">
        <v>189</v>
      </c>
      <c r="E7" s="7" t="s">
        <v>11</v>
      </c>
      <c r="F7" s="46">
        <v>162.78</v>
      </c>
    </row>
    <row r="8" spans="1:6" s="8" customFormat="1" ht="15.75" x14ac:dyDescent="0.25">
      <c r="A8" s="7">
        <f>A7+1</f>
        <v>3</v>
      </c>
      <c r="B8" s="4" t="s">
        <v>73</v>
      </c>
      <c r="C8" s="4" t="s">
        <v>74</v>
      </c>
      <c r="D8" s="4" t="s">
        <v>75</v>
      </c>
      <c r="E8" s="7" t="s">
        <v>11</v>
      </c>
      <c r="F8" s="46">
        <v>167.01</v>
      </c>
    </row>
    <row r="9" spans="1:6" s="8" customFormat="1" ht="15.75" x14ac:dyDescent="0.25">
      <c r="A9" s="7">
        <v>3</v>
      </c>
      <c r="B9" s="4" t="s">
        <v>136</v>
      </c>
      <c r="C9" s="4" t="s">
        <v>76</v>
      </c>
      <c r="D9" s="4" t="s">
        <v>155</v>
      </c>
      <c r="E9" s="7" t="s">
        <v>11</v>
      </c>
      <c r="F9" s="46">
        <v>178.82</v>
      </c>
    </row>
    <row r="10" spans="1:6" s="8" customFormat="1" ht="15.75" x14ac:dyDescent="0.25">
      <c r="A10" s="7">
        <f>A9+1</f>
        <v>4</v>
      </c>
      <c r="B10" s="4"/>
      <c r="C10" s="4" t="s">
        <v>21</v>
      </c>
      <c r="D10" s="4" t="s">
        <v>22</v>
      </c>
      <c r="E10" s="7" t="s">
        <v>11</v>
      </c>
      <c r="F10" s="46">
        <v>31.11</v>
      </c>
    </row>
    <row r="11" spans="1:6" s="8" customFormat="1" ht="15.75" x14ac:dyDescent="0.25">
      <c r="A11" s="7">
        <f>A10+1</f>
        <v>5</v>
      </c>
      <c r="B11" s="4"/>
      <c r="C11" s="4" t="s">
        <v>32</v>
      </c>
      <c r="D11" s="4" t="s">
        <v>33</v>
      </c>
      <c r="E11" s="7" t="s">
        <v>11</v>
      </c>
      <c r="F11" s="46">
        <v>73.7</v>
      </c>
    </row>
    <row r="12" spans="1:6" s="8" customFormat="1" ht="15.75" x14ac:dyDescent="0.25">
      <c r="A12" s="7">
        <f>A11+1</f>
        <v>6</v>
      </c>
      <c r="B12" s="4" t="s">
        <v>116</v>
      </c>
      <c r="C12" s="4" t="s">
        <v>117</v>
      </c>
      <c r="D12" s="4" t="s">
        <v>118</v>
      </c>
      <c r="E12" s="7" t="s">
        <v>11</v>
      </c>
      <c r="F12" s="47">
        <v>181.62</v>
      </c>
    </row>
    <row r="13" spans="1:6" s="8" customFormat="1" ht="15.75" x14ac:dyDescent="0.25">
      <c r="A13" s="7">
        <v>7</v>
      </c>
      <c r="B13" s="4"/>
      <c r="C13" s="4" t="s">
        <v>170</v>
      </c>
      <c r="D13" s="4" t="s">
        <v>169</v>
      </c>
      <c r="E13" s="7" t="s">
        <v>11</v>
      </c>
      <c r="F13" s="46">
        <v>42.24</v>
      </c>
    </row>
    <row r="14" spans="1:6" s="8" customFormat="1" ht="15.75" x14ac:dyDescent="0.25">
      <c r="A14" s="7">
        <f>A13+1</f>
        <v>8</v>
      </c>
      <c r="B14" s="4"/>
      <c r="C14" s="4" t="s">
        <v>48</v>
      </c>
      <c r="D14" s="4" t="s">
        <v>49</v>
      </c>
      <c r="E14" s="7" t="s">
        <v>11</v>
      </c>
      <c r="F14" s="46">
        <v>119.71</v>
      </c>
    </row>
    <row r="15" spans="1:6" s="8" customFormat="1" ht="15.75" x14ac:dyDescent="0.25">
      <c r="A15" s="7">
        <f>A14+1</f>
        <v>9</v>
      </c>
      <c r="B15" s="4"/>
      <c r="C15" s="4" t="s">
        <v>69</v>
      </c>
      <c r="D15" s="4" t="s">
        <v>70</v>
      </c>
      <c r="E15" s="7" t="s">
        <v>11</v>
      </c>
      <c r="F15" s="46">
        <v>169.44</v>
      </c>
    </row>
    <row r="16" spans="1:6" s="8" customFormat="1" ht="15.75" x14ac:dyDescent="0.25">
      <c r="A16" s="7">
        <f>A15+1</f>
        <v>10</v>
      </c>
      <c r="B16" s="3"/>
      <c r="C16" s="3" t="s">
        <v>102</v>
      </c>
      <c r="D16" s="3" t="s">
        <v>197</v>
      </c>
      <c r="E16" s="7" t="s">
        <v>11</v>
      </c>
      <c r="F16" s="46">
        <v>129.25</v>
      </c>
    </row>
    <row r="17" spans="1:11" s="8" customFormat="1" ht="15.75" x14ac:dyDescent="0.25">
      <c r="A17" s="7">
        <v>14</v>
      </c>
      <c r="B17" s="4"/>
      <c r="C17" s="4" t="s">
        <v>188</v>
      </c>
      <c r="D17" s="4" t="s">
        <v>187</v>
      </c>
      <c r="E17" s="7" t="s">
        <v>11</v>
      </c>
      <c r="F17" s="54">
        <v>181.87</v>
      </c>
    </row>
    <row r="18" spans="1:11" s="8" customFormat="1" ht="15.75" x14ac:dyDescent="0.25">
      <c r="A18" s="7">
        <f>A17+1</f>
        <v>15</v>
      </c>
      <c r="B18" s="4"/>
      <c r="C18" s="4" t="s">
        <v>186</v>
      </c>
      <c r="D18" s="4" t="s">
        <v>185</v>
      </c>
      <c r="E18" s="7" t="s">
        <v>11</v>
      </c>
      <c r="F18" s="47">
        <v>132.18</v>
      </c>
    </row>
    <row r="19" spans="1:11" s="8" customFormat="1" ht="15.75" x14ac:dyDescent="0.25">
      <c r="A19" s="7">
        <f>A18+1</f>
        <v>16</v>
      </c>
      <c r="B19" s="4"/>
      <c r="C19" s="4" t="s">
        <v>176</v>
      </c>
      <c r="D19" s="4" t="s">
        <v>177</v>
      </c>
      <c r="E19" s="7" t="s">
        <v>11</v>
      </c>
      <c r="F19" s="46">
        <v>0</v>
      </c>
    </row>
    <row r="20" spans="1:11" s="8" customFormat="1" ht="15.75" x14ac:dyDescent="0.25">
      <c r="A20" s="7">
        <f>A19+1</f>
        <v>17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214.86</v>
      </c>
    </row>
    <row r="21" spans="1:11" s="8" customFormat="1" ht="15.75" x14ac:dyDescent="0.25">
      <c r="A21" s="7">
        <v>15</v>
      </c>
      <c r="B21" s="4"/>
      <c r="C21" s="4" t="s">
        <v>171</v>
      </c>
      <c r="D21" s="4" t="s">
        <v>171</v>
      </c>
      <c r="E21" s="7" t="s">
        <v>11</v>
      </c>
      <c r="F21" s="46">
        <v>63.71</v>
      </c>
    </row>
    <row r="22" spans="1:11" s="8" customFormat="1" ht="15.75" x14ac:dyDescent="0.25">
      <c r="A22" s="7">
        <f>A21+1</f>
        <v>16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147.97999999999999</v>
      </c>
    </row>
    <row r="23" spans="1:11" s="8" customFormat="1" ht="15.75" x14ac:dyDescent="0.25">
      <c r="A23" s="7">
        <f>A22+1</f>
        <v>17</v>
      </c>
      <c r="B23" s="4" t="s">
        <v>29</v>
      </c>
      <c r="C23" s="4" t="s">
        <v>30</v>
      </c>
      <c r="D23" s="4" t="s">
        <v>31</v>
      </c>
      <c r="E23" s="7" t="s">
        <v>11</v>
      </c>
      <c r="F23" s="46">
        <v>0</v>
      </c>
    </row>
    <row r="24" spans="1:11" s="8" customFormat="1" ht="15.75" x14ac:dyDescent="0.25">
      <c r="A24" s="7">
        <f>A23+1</f>
        <v>18</v>
      </c>
      <c r="B24" s="4"/>
      <c r="C24" s="4" t="s">
        <v>42</v>
      </c>
      <c r="D24" s="4" t="s">
        <v>43</v>
      </c>
      <c r="E24" s="7" t="s">
        <v>11</v>
      </c>
      <c r="F24" s="46">
        <v>137.88999999999999</v>
      </c>
    </row>
    <row r="25" spans="1:11" s="8" customFormat="1" ht="15.75" x14ac:dyDescent="0.25">
      <c r="A25" s="7">
        <v>19</v>
      </c>
      <c r="B25" s="4" t="s">
        <v>160</v>
      </c>
      <c r="C25" s="4" t="s">
        <v>159</v>
      </c>
      <c r="D25" s="4" t="s">
        <v>158</v>
      </c>
      <c r="E25" s="7" t="s">
        <v>11</v>
      </c>
      <c r="F25" s="46">
        <v>120.43</v>
      </c>
    </row>
    <row r="26" spans="1:11" s="8" customFormat="1" ht="15.75" x14ac:dyDescent="0.25">
      <c r="A26" s="7">
        <f t="shared" ref="A26:A31" si="0">A25+1</f>
        <v>20</v>
      </c>
      <c r="B26" s="4"/>
      <c r="C26" s="4" t="s">
        <v>113</v>
      </c>
      <c r="D26" s="4" t="s">
        <v>115</v>
      </c>
      <c r="E26" s="7" t="s">
        <v>11</v>
      </c>
      <c r="F26" s="47">
        <v>125.77</v>
      </c>
    </row>
    <row r="27" spans="1:11" s="8" customFormat="1" ht="15.75" x14ac:dyDescent="0.25">
      <c r="A27" s="7">
        <f t="shared" si="0"/>
        <v>21</v>
      </c>
      <c r="B27" s="4"/>
      <c r="C27" s="4" t="s">
        <v>153</v>
      </c>
      <c r="D27" s="4" t="s">
        <v>154</v>
      </c>
      <c r="E27" s="7" t="s">
        <v>11</v>
      </c>
      <c r="F27" s="47">
        <v>110.81</v>
      </c>
    </row>
    <row r="28" spans="1:11" s="8" customFormat="1" ht="15.75" x14ac:dyDescent="0.25">
      <c r="A28" s="7">
        <f t="shared" si="0"/>
        <v>22</v>
      </c>
      <c r="B28" s="4"/>
      <c r="C28" s="4" t="s">
        <v>48</v>
      </c>
      <c r="D28" s="4" t="s">
        <v>50</v>
      </c>
      <c r="E28" s="7" t="s">
        <v>11</v>
      </c>
      <c r="F28" s="46">
        <v>168.45</v>
      </c>
    </row>
    <row r="29" spans="1:11" s="8" customFormat="1" ht="15.75" x14ac:dyDescent="0.25">
      <c r="A29" s="7">
        <f t="shared" si="0"/>
        <v>23</v>
      </c>
      <c r="B29" s="4"/>
      <c r="C29" s="4" t="s">
        <v>92</v>
      </c>
      <c r="D29" s="4" t="s">
        <v>93</v>
      </c>
      <c r="E29" s="7" t="s">
        <v>11</v>
      </c>
      <c r="F29" s="46">
        <v>0</v>
      </c>
    </row>
    <row r="30" spans="1:11" s="8" customFormat="1" ht="15.75" x14ac:dyDescent="0.25">
      <c r="A30" s="7">
        <f t="shared" si="0"/>
        <v>24</v>
      </c>
      <c r="B30" s="4"/>
      <c r="C30" s="4" t="s">
        <v>44</v>
      </c>
      <c r="D30" s="4" t="s">
        <v>45</v>
      </c>
      <c r="E30" s="7" t="s">
        <v>11</v>
      </c>
      <c r="F30" s="46">
        <v>138.5</v>
      </c>
    </row>
    <row r="31" spans="1:11" s="8" customFormat="1" ht="15.75" x14ac:dyDescent="0.25">
      <c r="A31" s="7">
        <f t="shared" si="0"/>
        <v>25</v>
      </c>
      <c r="B31" s="4"/>
      <c r="C31" s="4" t="s">
        <v>65</v>
      </c>
      <c r="D31" s="4" t="s">
        <v>66</v>
      </c>
      <c r="E31" s="7" t="s">
        <v>11</v>
      </c>
      <c r="F31" s="46">
        <v>158.28</v>
      </c>
    </row>
    <row r="32" spans="1:11" s="8" customFormat="1" ht="15.75" x14ac:dyDescent="0.25">
      <c r="A32" s="7">
        <v>27</v>
      </c>
      <c r="B32" s="4" t="s">
        <v>8</v>
      </c>
      <c r="C32" s="4" t="s">
        <v>9</v>
      </c>
      <c r="D32" s="4" t="s">
        <v>10</v>
      </c>
      <c r="E32" s="7" t="s">
        <v>11</v>
      </c>
      <c r="F32" s="46">
        <v>63.12</v>
      </c>
      <c r="K32" s="41"/>
    </row>
    <row r="33" spans="1:6" s="8" customFormat="1" ht="15.75" x14ac:dyDescent="0.25">
      <c r="B33" s="44"/>
      <c r="C33" s="44"/>
      <c r="D33" s="44"/>
      <c r="F33" s="5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31">
        <f>SUM(F6:F33)</f>
        <v>3131.6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6:K32">
    <sortCondition ref="D6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F29" sqref="F29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60"/>
    </row>
    <row r="2" spans="1:10" x14ac:dyDescent="0.25">
      <c r="A2" s="2" t="s">
        <v>122</v>
      </c>
      <c r="B2" s="2"/>
      <c r="C2" s="23">
        <v>46074</v>
      </c>
      <c r="F2" s="60"/>
    </row>
    <row r="3" spans="1:10" x14ac:dyDescent="0.25">
      <c r="A3" s="2" t="s">
        <v>123</v>
      </c>
      <c r="B3" s="2"/>
      <c r="C3" s="23">
        <v>46079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v>1</v>
      </c>
      <c r="B5" s="4"/>
      <c r="C5" s="4" t="s">
        <v>17</v>
      </c>
      <c r="D5" s="4" t="s">
        <v>181</v>
      </c>
      <c r="E5" s="7" t="s">
        <v>14</v>
      </c>
      <c r="F5" s="47">
        <v>39.71</v>
      </c>
    </row>
    <row r="6" spans="1:10" s="8" customFormat="1" ht="15.75" x14ac:dyDescent="0.25">
      <c r="A6" s="7">
        <v>2</v>
      </c>
      <c r="B6" s="4"/>
      <c r="C6" s="4" t="s">
        <v>39</v>
      </c>
      <c r="D6" s="4" t="s">
        <v>40</v>
      </c>
      <c r="E6" s="7" t="s">
        <v>14</v>
      </c>
      <c r="F6" s="46">
        <v>982.39</v>
      </c>
    </row>
    <row r="7" spans="1:10" s="8" customFormat="1" ht="15.75" x14ac:dyDescent="0.25">
      <c r="A7" s="7">
        <v>3</v>
      </c>
      <c r="B7" s="4"/>
      <c r="C7" s="4" t="s">
        <v>17</v>
      </c>
      <c r="D7" s="4" t="s">
        <v>18</v>
      </c>
      <c r="E7" s="7" t="s">
        <v>14</v>
      </c>
      <c r="F7" s="46">
        <v>1014.4</v>
      </c>
    </row>
    <row r="8" spans="1:10" s="8" customFormat="1" ht="15.75" x14ac:dyDescent="0.25">
      <c r="A8" s="52">
        <v>4</v>
      </c>
      <c r="B8" s="4" t="s">
        <v>145</v>
      </c>
      <c r="C8" s="4" t="s">
        <v>146</v>
      </c>
      <c r="D8" s="4" t="s">
        <v>147</v>
      </c>
      <c r="E8" s="51" t="s">
        <v>14</v>
      </c>
      <c r="F8" s="53">
        <v>1057.5999999999999</v>
      </c>
      <c r="G8" s="22"/>
      <c r="H8" s="22"/>
      <c r="I8" s="22"/>
      <c r="J8" s="22"/>
    </row>
    <row r="9" spans="1:10" s="8" customFormat="1" ht="15.75" x14ac:dyDescent="0.25">
      <c r="A9" s="7">
        <v>5</v>
      </c>
      <c r="B9" s="4" t="s">
        <v>135</v>
      </c>
      <c r="C9" s="4" t="s">
        <v>76</v>
      </c>
      <c r="D9" s="4" t="s">
        <v>78</v>
      </c>
      <c r="E9" s="7" t="s">
        <v>14</v>
      </c>
      <c r="F9" s="46">
        <v>375.03</v>
      </c>
    </row>
    <row r="10" spans="1:10" s="8" customFormat="1" ht="15.75" x14ac:dyDescent="0.25">
      <c r="A10" s="7">
        <f>A9+1</f>
        <v>6</v>
      </c>
      <c r="B10" s="4"/>
      <c r="C10" s="4" t="s">
        <v>90</v>
      </c>
      <c r="D10" s="4" t="s">
        <v>199</v>
      </c>
      <c r="E10" s="7" t="s">
        <v>14</v>
      </c>
      <c r="F10" s="46">
        <v>1640.9</v>
      </c>
    </row>
    <row r="11" spans="1:10" s="8" customFormat="1" ht="15.75" x14ac:dyDescent="0.25">
      <c r="A11" s="7">
        <f>A10+1</f>
        <v>7</v>
      </c>
      <c r="B11" s="4"/>
      <c r="C11" s="4" t="s">
        <v>79</v>
      </c>
      <c r="D11" s="4" t="s">
        <v>80</v>
      </c>
      <c r="E11" s="7" t="s">
        <v>14</v>
      </c>
      <c r="F11" s="46">
        <v>464.78</v>
      </c>
    </row>
    <row r="12" spans="1:10" s="8" customFormat="1" ht="15.75" x14ac:dyDescent="0.25">
      <c r="A12" s="40">
        <v>8</v>
      </c>
      <c r="B12" s="3" t="s">
        <v>148</v>
      </c>
      <c r="C12" s="3" t="s">
        <v>149</v>
      </c>
      <c r="D12" s="3" t="s">
        <v>150</v>
      </c>
      <c r="E12" s="7" t="s">
        <v>14</v>
      </c>
      <c r="F12" s="53">
        <v>77.92</v>
      </c>
    </row>
    <row r="13" spans="1:10" s="8" customFormat="1" ht="15.75" x14ac:dyDescent="0.25">
      <c r="A13" s="7">
        <v>9</v>
      </c>
      <c r="B13" s="4" t="s">
        <v>26</v>
      </c>
      <c r="C13" s="4" t="s">
        <v>138</v>
      </c>
      <c r="D13" s="4" t="s">
        <v>152</v>
      </c>
      <c r="E13" s="7" t="s">
        <v>151</v>
      </c>
      <c r="F13" s="46">
        <v>1326.4</v>
      </c>
    </row>
    <row r="14" spans="1:10" s="8" customFormat="1" ht="15.75" x14ac:dyDescent="0.25">
      <c r="A14" s="7">
        <f>A13+1</f>
        <v>10</v>
      </c>
      <c r="B14" s="4"/>
      <c r="C14" s="4" t="s">
        <v>173</v>
      </c>
      <c r="D14" s="4" t="s">
        <v>172</v>
      </c>
      <c r="E14" s="7" t="s">
        <v>14</v>
      </c>
      <c r="F14" s="46">
        <v>120.38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832.65</v>
      </c>
    </row>
    <row r="16" spans="1:10" s="8" customFormat="1" ht="15.75" x14ac:dyDescent="0.25">
      <c r="A16" s="7">
        <v>12</v>
      </c>
      <c r="B16" s="4"/>
      <c r="C16" s="4" t="s">
        <v>157</v>
      </c>
      <c r="D16" s="4" t="s">
        <v>156</v>
      </c>
      <c r="E16" s="7" t="s">
        <v>14</v>
      </c>
      <c r="F16" s="46">
        <v>99.48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867.08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137</v>
      </c>
      <c r="E18" s="7" t="s">
        <v>14</v>
      </c>
      <c r="F18" s="46">
        <v>1553.1</v>
      </c>
    </row>
    <row r="19" spans="1:10" s="8" customFormat="1" ht="15.75" x14ac:dyDescent="0.25">
      <c r="A19" s="7">
        <f>A18+1</f>
        <v>15</v>
      </c>
      <c r="B19" s="4"/>
      <c r="C19" s="4" t="s">
        <v>175</v>
      </c>
      <c r="D19" s="4" t="s">
        <v>174</v>
      </c>
      <c r="E19" s="7" t="s">
        <v>14</v>
      </c>
      <c r="F19" s="47">
        <v>59.88</v>
      </c>
    </row>
    <row r="20" spans="1:10" s="8" customFormat="1" ht="15.75" x14ac:dyDescent="0.25">
      <c r="A20" s="7">
        <v>16</v>
      </c>
      <c r="B20" s="4" t="s">
        <v>180</v>
      </c>
      <c r="C20" s="4" t="s">
        <v>5</v>
      </c>
      <c r="D20" s="4" t="s">
        <v>179</v>
      </c>
      <c r="E20" s="7" t="s">
        <v>14</v>
      </c>
      <c r="F20" s="47">
        <v>254.6</v>
      </c>
    </row>
    <row r="21" spans="1:10" s="8" customFormat="1" ht="15.75" x14ac:dyDescent="0.25">
      <c r="A21" s="7">
        <f>A20+1</f>
        <v>17</v>
      </c>
      <c r="B21" s="4"/>
      <c r="C21" s="4" t="s">
        <v>164</v>
      </c>
      <c r="D21" s="4" t="s">
        <v>165</v>
      </c>
      <c r="E21" s="7" t="s">
        <v>14</v>
      </c>
      <c r="F21" s="47">
        <v>60.58</v>
      </c>
    </row>
    <row r="22" spans="1:10" s="8" customFormat="1" ht="15.75" x14ac:dyDescent="0.25">
      <c r="A22" s="7">
        <f>A21+1</f>
        <v>18</v>
      </c>
      <c r="B22" s="4" t="s">
        <v>191</v>
      </c>
      <c r="C22" s="4" t="s">
        <v>192</v>
      </c>
      <c r="D22" s="4" t="s">
        <v>193</v>
      </c>
      <c r="E22" s="7" t="s">
        <v>14</v>
      </c>
      <c r="F22" s="46">
        <v>82.34</v>
      </c>
    </row>
    <row r="23" spans="1:10" s="8" customFormat="1" ht="15.75" x14ac:dyDescent="0.25">
      <c r="A23" s="64">
        <v>19</v>
      </c>
      <c r="B23" s="65"/>
      <c r="C23" s="62" t="s">
        <v>109</v>
      </c>
      <c r="D23" s="4" t="s">
        <v>110</v>
      </c>
      <c r="E23" s="63" t="s">
        <v>14</v>
      </c>
      <c r="F23" s="47">
        <v>543.25</v>
      </c>
    </row>
    <row r="24" spans="1:10" s="8" customFormat="1" ht="15.75" x14ac:dyDescent="0.25">
      <c r="A24" s="64">
        <v>20</v>
      </c>
      <c r="B24" s="4" t="s">
        <v>184</v>
      </c>
      <c r="C24" s="62" t="s">
        <v>182</v>
      </c>
      <c r="D24" s="4" t="s">
        <v>183</v>
      </c>
      <c r="E24" s="63" t="s">
        <v>14</v>
      </c>
      <c r="F24" s="47">
        <v>46.33</v>
      </c>
    </row>
    <row r="25" spans="1:10" s="8" customFormat="1" ht="15.75" x14ac:dyDescent="0.25">
      <c r="A25" s="61">
        <v>21</v>
      </c>
      <c r="B25" s="4"/>
      <c r="C25" s="62" t="s">
        <v>195</v>
      </c>
      <c r="D25" s="4" t="s">
        <v>194</v>
      </c>
      <c r="E25" s="63" t="s">
        <v>14</v>
      </c>
      <c r="F25" s="47">
        <v>66.73</v>
      </c>
    </row>
    <row r="26" spans="1:10" s="8" customFormat="1" ht="15.75" x14ac:dyDescent="0.25">
      <c r="A26" s="61">
        <v>22</v>
      </c>
      <c r="B26" s="4"/>
      <c r="C26" s="4" t="s">
        <v>46</v>
      </c>
      <c r="D26" s="4" t="s">
        <v>47</v>
      </c>
      <c r="E26" s="7" t="s">
        <v>14</v>
      </c>
      <c r="F26" s="46">
        <v>123.32</v>
      </c>
    </row>
    <row r="27" spans="1:10" s="8" customFormat="1" ht="15.75" x14ac:dyDescent="0.25">
      <c r="A27" s="7">
        <v>23</v>
      </c>
      <c r="B27" s="4" t="s">
        <v>82</v>
      </c>
      <c r="C27" s="4" t="s">
        <v>83</v>
      </c>
      <c r="D27" s="4" t="s">
        <v>196</v>
      </c>
      <c r="E27" s="7" t="s">
        <v>14</v>
      </c>
      <c r="F27" s="47">
        <v>0</v>
      </c>
    </row>
    <row r="28" spans="1:10" s="8" customFormat="1" ht="15.75" x14ac:dyDescent="0.25">
      <c r="A28" s="7">
        <v>24</v>
      </c>
      <c r="B28" s="4" t="s">
        <v>134</v>
      </c>
      <c r="C28" s="4" t="s">
        <v>12</v>
      </c>
      <c r="D28" s="4" t="s">
        <v>13</v>
      </c>
      <c r="E28" s="61" t="s">
        <v>14</v>
      </c>
      <c r="F28" s="46">
        <v>855.63</v>
      </c>
      <c r="J28" s="41"/>
    </row>
    <row r="29" spans="1:10" s="17" customFormat="1" ht="15.75" x14ac:dyDescent="0.25">
      <c r="A29" s="56"/>
      <c r="B29" s="57"/>
      <c r="C29" s="57"/>
      <c r="D29" s="58" t="s">
        <v>4</v>
      </c>
      <c r="E29" s="59"/>
      <c r="F29" s="59">
        <f>SUM(F5:F28)</f>
        <v>12544.48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4"/>
  <sheetViews>
    <sheetView workbookViewId="0">
      <selection activeCell="G29" sqref="G29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144</v>
      </c>
    </row>
    <row r="2" spans="1:12" x14ac:dyDescent="0.25">
      <c r="A2" s="2" t="s">
        <v>122</v>
      </c>
      <c r="B2" s="2"/>
      <c r="C2" s="23">
        <v>46074</v>
      </c>
    </row>
    <row r="3" spans="1:12" x14ac:dyDescent="0.25">
      <c r="A3" s="2" t="s">
        <v>123</v>
      </c>
      <c r="B3" s="2"/>
      <c r="C3" s="23">
        <v>46079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5.75" x14ac:dyDescent="0.25">
      <c r="A5" s="52">
        <v>1</v>
      </c>
      <c r="B5" s="4"/>
      <c r="C5" s="4" t="s">
        <v>90</v>
      </c>
      <c r="D5" s="4" t="s">
        <v>199</v>
      </c>
      <c r="E5" s="51" t="s">
        <v>14</v>
      </c>
      <c r="F5" s="82">
        <v>72.98</v>
      </c>
    </row>
    <row r="6" spans="1:12" s="5" customFormat="1" ht="17.25" customHeight="1" x14ac:dyDescent="0.25">
      <c r="A6" s="7">
        <v>2</v>
      </c>
      <c r="B6" s="4"/>
      <c r="C6" s="4" t="s">
        <v>59</v>
      </c>
      <c r="D6" s="4" t="s">
        <v>60</v>
      </c>
      <c r="E6" s="10" t="s">
        <v>61</v>
      </c>
      <c r="F6" s="50">
        <v>33.840000000000003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v>3</v>
      </c>
      <c r="B7" s="4"/>
      <c r="C7" s="4" t="s">
        <v>166</v>
      </c>
      <c r="D7" s="4" t="s">
        <v>167</v>
      </c>
      <c r="E7" s="10" t="s">
        <v>11</v>
      </c>
      <c r="F7" s="50">
        <v>7.5</v>
      </c>
      <c r="G7" s="8"/>
      <c r="I7" s="8"/>
      <c r="J7" s="8"/>
      <c r="K7" s="8"/>
      <c r="L7" s="8"/>
    </row>
    <row r="8" spans="1:12" s="5" customFormat="1" ht="17.25" customHeight="1" x14ac:dyDescent="0.25">
      <c r="A8" s="7">
        <f>A7+1</f>
        <v>4</v>
      </c>
      <c r="B8" s="4"/>
      <c r="C8" s="4" t="s">
        <v>190</v>
      </c>
      <c r="D8" s="4" t="s">
        <v>189</v>
      </c>
      <c r="E8" s="7" t="s">
        <v>11</v>
      </c>
      <c r="F8" s="50">
        <v>7.5</v>
      </c>
      <c r="G8" s="8"/>
      <c r="I8" s="8"/>
      <c r="J8" s="8"/>
      <c r="K8" s="8"/>
      <c r="L8" s="8"/>
    </row>
    <row r="9" spans="1:12" s="8" customFormat="1" ht="15.75" x14ac:dyDescent="0.25">
      <c r="A9" s="7">
        <v>5</v>
      </c>
      <c r="B9" s="4"/>
      <c r="C9" s="4" t="s">
        <v>17</v>
      </c>
      <c r="D9" s="4" t="s">
        <v>181</v>
      </c>
      <c r="E9" s="10" t="s">
        <v>14</v>
      </c>
      <c r="F9" s="50">
        <v>76.02</v>
      </c>
      <c r="H9" s="5"/>
    </row>
    <row r="10" spans="1:12" s="8" customFormat="1" ht="15.75" x14ac:dyDescent="0.25">
      <c r="A10" s="7">
        <v>6</v>
      </c>
      <c r="B10" s="4" t="s">
        <v>73</v>
      </c>
      <c r="C10" s="4" t="s">
        <v>74</v>
      </c>
      <c r="D10" s="4" t="s">
        <v>75</v>
      </c>
      <c r="E10" s="7" t="s">
        <v>11</v>
      </c>
      <c r="F10" s="50">
        <v>46.46</v>
      </c>
      <c r="H10" s="5"/>
      <c r="L10" s="42"/>
    </row>
    <row r="11" spans="1:12" s="8" customFormat="1" ht="15.75" x14ac:dyDescent="0.25">
      <c r="A11" s="7">
        <v>7</v>
      </c>
      <c r="B11" s="4"/>
      <c r="C11" s="4" t="s">
        <v>161</v>
      </c>
      <c r="D11" s="4" t="s">
        <v>162</v>
      </c>
      <c r="E11" s="7" t="s">
        <v>163</v>
      </c>
      <c r="F11" s="50">
        <v>19.43</v>
      </c>
      <c r="H11" s="5"/>
    </row>
    <row r="12" spans="1:12" s="8" customFormat="1" ht="15.75" x14ac:dyDescent="0.25">
      <c r="A12" s="7">
        <v>8</v>
      </c>
      <c r="B12" s="4"/>
      <c r="C12" s="4" t="s">
        <v>39</v>
      </c>
      <c r="D12" s="4" t="s">
        <v>40</v>
      </c>
      <c r="E12" s="7" t="s">
        <v>14</v>
      </c>
      <c r="F12" s="50">
        <v>63.31</v>
      </c>
      <c r="H12" s="5"/>
    </row>
    <row r="13" spans="1:12" s="8" customFormat="1" ht="15.75" x14ac:dyDescent="0.25">
      <c r="A13" s="7">
        <v>9</v>
      </c>
      <c r="B13" s="4"/>
      <c r="C13" s="4" t="s">
        <v>17</v>
      </c>
      <c r="D13" s="4" t="s">
        <v>18</v>
      </c>
      <c r="E13" s="7" t="s">
        <v>14</v>
      </c>
      <c r="F13" s="50">
        <v>0</v>
      </c>
      <c r="H13" s="5"/>
    </row>
    <row r="14" spans="1:12" s="8" customFormat="1" ht="15.75" x14ac:dyDescent="0.25">
      <c r="A14" s="7">
        <v>10</v>
      </c>
      <c r="B14" s="4"/>
      <c r="C14" s="4" t="s">
        <v>76</v>
      </c>
      <c r="D14" s="4" t="s">
        <v>77</v>
      </c>
      <c r="E14" s="7" t="s">
        <v>14</v>
      </c>
      <c r="F14" s="50">
        <v>205.96</v>
      </c>
      <c r="H14" s="5"/>
    </row>
    <row r="15" spans="1:12" s="8" customFormat="1" ht="15.75" x14ac:dyDescent="0.25">
      <c r="A15" s="7">
        <v>11</v>
      </c>
      <c r="B15" s="4"/>
      <c r="C15" s="4" t="s">
        <v>21</v>
      </c>
      <c r="D15" s="4" t="s">
        <v>22</v>
      </c>
      <c r="E15" s="7" t="s">
        <v>11</v>
      </c>
      <c r="F15" s="50">
        <v>16.64</v>
      </c>
      <c r="H15" s="5"/>
    </row>
    <row r="16" spans="1:12" s="8" customFormat="1" ht="15.75" x14ac:dyDescent="0.25">
      <c r="A16" s="7">
        <v>12</v>
      </c>
      <c r="B16" s="4" t="s">
        <v>145</v>
      </c>
      <c r="C16" s="4" t="s">
        <v>146</v>
      </c>
      <c r="D16" s="4" t="s">
        <v>147</v>
      </c>
      <c r="E16" s="7" t="s">
        <v>11</v>
      </c>
      <c r="F16" s="50">
        <v>94.42</v>
      </c>
      <c r="H16" s="5"/>
    </row>
    <row r="17" spans="1:12" s="8" customFormat="1" ht="15.75" x14ac:dyDescent="0.25">
      <c r="A17" s="7">
        <v>13</v>
      </c>
      <c r="B17" s="4"/>
      <c r="C17" s="4" t="s">
        <v>76</v>
      </c>
      <c r="D17" s="4" t="s">
        <v>78</v>
      </c>
      <c r="E17" s="7" t="s">
        <v>14</v>
      </c>
      <c r="F17" s="50">
        <v>273.72000000000003</v>
      </c>
      <c r="H17" s="5"/>
    </row>
    <row r="18" spans="1:12" s="8" customFormat="1" ht="15.75" x14ac:dyDescent="0.25">
      <c r="A18" s="7">
        <v>14</v>
      </c>
      <c r="B18" s="4"/>
      <c r="C18" s="4" t="s">
        <v>71</v>
      </c>
      <c r="D18" s="4" t="s">
        <v>72</v>
      </c>
      <c r="E18" s="7" t="s">
        <v>14</v>
      </c>
      <c r="F18" s="50"/>
      <c r="H18" s="5"/>
    </row>
    <row r="19" spans="1:12" s="8" customFormat="1" ht="15.75" x14ac:dyDescent="0.25">
      <c r="A19" s="7">
        <v>15</v>
      </c>
      <c r="B19" s="4"/>
      <c r="C19" s="4" t="s">
        <v>32</v>
      </c>
      <c r="D19" s="4" t="s">
        <v>33</v>
      </c>
      <c r="E19" s="7" t="s">
        <v>11</v>
      </c>
      <c r="F19" s="50">
        <v>0</v>
      </c>
      <c r="H19" s="5"/>
      <c r="L19" s="42"/>
    </row>
    <row r="20" spans="1:12" s="8" customFormat="1" ht="15.75" x14ac:dyDescent="0.25">
      <c r="A20" s="7">
        <v>16</v>
      </c>
      <c r="B20" s="4" t="s">
        <v>116</v>
      </c>
      <c r="C20" s="4" t="s">
        <v>117</v>
      </c>
      <c r="D20" s="4" t="s">
        <v>118</v>
      </c>
      <c r="E20" s="7" t="s">
        <v>11</v>
      </c>
      <c r="F20" s="50">
        <v>17.48</v>
      </c>
      <c r="H20" s="5"/>
    </row>
    <row r="21" spans="1:12" s="8" customFormat="1" ht="15.75" x14ac:dyDescent="0.25">
      <c r="A21" s="7">
        <v>17</v>
      </c>
      <c r="B21" s="4"/>
      <c r="C21" s="4" t="s">
        <v>79</v>
      </c>
      <c r="D21" s="4" t="s">
        <v>80</v>
      </c>
      <c r="E21" s="7" t="s">
        <v>14</v>
      </c>
      <c r="F21" s="50">
        <v>228.77</v>
      </c>
      <c r="H21" s="5"/>
    </row>
    <row r="22" spans="1:12" s="8" customFormat="1" ht="15.75" x14ac:dyDescent="0.25">
      <c r="A22" s="7">
        <v>18</v>
      </c>
      <c r="B22" s="4" t="s">
        <v>148</v>
      </c>
      <c r="C22" s="4" t="s">
        <v>149</v>
      </c>
      <c r="D22" s="4" t="s">
        <v>150</v>
      </c>
      <c r="E22" s="7" t="s">
        <v>14</v>
      </c>
      <c r="F22" s="50">
        <v>19.940000000000001</v>
      </c>
    </row>
    <row r="23" spans="1:12" s="8" customFormat="1" ht="15.75" x14ac:dyDescent="0.25">
      <c r="A23" s="7">
        <v>19</v>
      </c>
      <c r="B23" s="4" t="s">
        <v>26</v>
      </c>
      <c r="C23" s="4" t="s">
        <v>30</v>
      </c>
      <c r="D23" s="4" t="s">
        <v>28</v>
      </c>
      <c r="E23" s="7" t="s">
        <v>14</v>
      </c>
      <c r="F23" s="50">
        <v>131.47999999999999</v>
      </c>
      <c r="H23" s="5"/>
      <c r="L23" s="42"/>
    </row>
    <row r="24" spans="1:12" s="8" customFormat="1" ht="15.75" x14ac:dyDescent="0.25">
      <c r="A24" s="7">
        <v>20</v>
      </c>
      <c r="B24" s="4"/>
      <c r="C24" s="4" t="s">
        <v>173</v>
      </c>
      <c r="D24" s="4" t="s">
        <v>172</v>
      </c>
      <c r="E24" s="7" t="s">
        <v>14</v>
      </c>
      <c r="F24" s="50">
        <v>244.62</v>
      </c>
      <c r="H24" s="5"/>
    </row>
    <row r="25" spans="1:12" s="8" customFormat="1" ht="15.75" x14ac:dyDescent="0.25">
      <c r="A25" s="7">
        <v>22</v>
      </c>
      <c r="B25" s="4"/>
      <c r="C25" s="4" t="s">
        <v>48</v>
      </c>
      <c r="D25" s="4" t="s">
        <v>49</v>
      </c>
      <c r="E25" s="7" t="s">
        <v>11</v>
      </c>
      <c r="F25" s="50">
        <v>70.95</v>
      </c>
      <c r="H25" s="5"/>
    </row>
    <row r="26" spans="1:12" s="8" customFormat="1" ht="15.75" x14ac:dyDescent="0.25">
      <c r="A26" s="7">
        <v>23</v>
      </c>
      <c r="B26" s="4"/>
      <c r="C26" s="4" t="s">
        <v>51</v>
      </c>
      <c r="D26" s="4" t="s">
        <v>52</v>
      </c>
      <c r="E26" s="7" t="s">
        <v>14</v>
      </c>
      <c r="F26" s="50">
        <v>0</v>
      </c>
      <c r="H26" s="5"/>
    </row>
    <row r="27" spans="1:12" s="8" customFormat="1" ht="15.75" x14ac:dyDescent="0.25">
      <c r="A27" s="7">
        <v>24</v>
      </c>
      <c r="B27" s="4"/>
      <c r="C27" s="4" t="s">
        <v>157</v>
      </c>
      <c r="D27" s="4" t="s">
        <v>156</v>
      </c>
      <c r="E27" s="7" t="s">
        <v>14</v>
      </c>
      <c r="F27" s="50">
        <v>7.5</v>
      </c>
      <c r="H27" s="5"/>
    </row>
    <row r="28" spans="1:12" s="8" customFormat="1" ht="15.75" x14ac:dyDescent="0.25">
      <c r="A28" s="7">
        <v>25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8.75" customHeight="1" x14ac:dyDescent="0.25">
      <c r="A29" s="7">
        <v>26</v>
      </c>
      <c r="B29" s="4"/>
      <c r="C29" s="4" t="s">
        <v>69</v>
      </c>
      <c r="D29" s="4" t="s">
        <v>70</v>
      </c>
      <c r="E29" s="7" t="s">
        <v>11</v>
      </c>
      <c r="F29" s="50">
        <v>0</v>
      </c>
      <c r="H29" s="5"/>
    </row>
    <row r="30" spans="1:12" s="8" customFormat="1" ht="17.45" customHeight="1" x14ac:dyDescent="0.25">
      <c r="A30" s="40">
        <v>27</v>
      </c>
      <c r="B30" s="3"/>
      <c r="C30" s="3" t="s">
        <v>133</v>
      </c>
      <c r="D30" s="3" t="s">
        <v>137</v>
      </c>
      <c r="E30" s="7" t="s">
        <v>14</v>
      </c>
      <c r="F30" s="50">
        <v>8</v>
      </c>
    </row>
    <row r="31" spans="1:12" s="8" customFormat="1" ht="18" customHeight="1" x14ac:dyDescent="0.25">
      <c r="A31" s="40">
        <v>28</v>
      </c>
      <c r="B31" s="3"/>
      <c r="C31" s="3" t="s">
        <v>102</v>
      </c>
      <c r="D31" s="3" t="s">
        <v>178</v>
      </c>
      <c r="E31" s="7" t="s">
        <v>14</v>
      </c>
      <c r="F31" s="50">
        <v>36</v>
      </c>
    </row>
    <row r="32" spans="1:12" s="8" customFormat="1" ht="15.75" x14ac:dyDescent="0.25">
      <c r="A32" s="7">
        <v>29</v>
      </c>
      <c r="B32" s="4"/>
      <c r="C32" s="4" t="s">
        <v>188</v>
      </c>
      <c r="D32" s="4" t="s">
        <v>187</v>
      </c>
      <c r="E32" s="7" t="s">
        <v>11</v>
      </c>
      <c r="F32" s="50">
        <v>10.48</v>
      </c>
    </row>
    <row r="33" spans="1:12" s="8" customFormat="1" ht="15.75" x14ac:dyDescent="0.25">
      <c r="A33" s="7">
        <v>30</v>
      </c>
      <c r="B33" s="4"/>
      <c r="C33" s="4" t="s">
        <v>186</v>
      </c>
      <c r="D33" s="4" t="s">
        <v>185</v>
      </c>
      <c r="E33" s="7" t="s">
        <v>11</v>
      </c>
      <c r="F33" s="50">
        <v>7.5</v>
      </c>
      <c r="H33" s="5"/>
    </row>
    <row r="34" spans="1:12" s="8" customFormat="1" ht="15.75" x14ac:dyDescent="0.25">
      <c r="A34" s="7">
        <v>31</v>
      </c>
      <c r="B34" s="4"/>
      <c r="C34" s="4" t="s">
        <v>175</v>
      </c>
      <c r="D34" s="4" t="s">
        <v>174</v>
      </c>
      <c r="E34" s="7" t="s">
        <v>14</v>
      </c>
      <c r="F34" s="50">
        <v>38</v>
      </c>
    </row>
    <row r="35" spans="1:12" s="8" customFormat="1" ht="15.75" x14ac:dyDescent="0.25">
      <c r="A35" s="7">
        <v>33</v>
      </c>
      <c r="B35" s="4" t="s">
        <v>104</v>
      </c>
      <c r="C35" s="4" t="s">
        <v>105</v>
      </c>
      <c r="D35" s="4" t="s">
        <v>106</v>
      </c>
      <c r="E35" s="7" t="s">
        <v>11</v>
      </c>
      <c r="F35" s="50">
        <v>321.97000000000003</v>
      </c>
      <c r="H35" s="5"/>
    </row>
    <row r="36" spans="1:12" s="8" customFormat="1" ht="15.75" x14ac:dyDescent="0.25">
      <c r="A36" s="7">
        <v>32</v>
      </c>
      <c r="B36" s="4"/>
      <c r="C36" s="4" t="s">
        <v>171</v>
      </c>
      <c r="D36" s="4" t="s">
        <v>171</v>
      </c>
      <c r="E36" s="7" t="s">
        <v>11</v>
      </c>
      <c r="F36" s="50">
        <v>7.48</v>
      </c>
      <c r="H36" s="5"/>
    </row>
    <row r="37" spans="1:12" s="8" customFormat="1" ht="15.75" x14ac:dyDescent="0.25">
      <c r="A37" s="7">
        <v>34</v>
      </c>
      <c r="B37" s="4" t="s">
        <v>107</v>
      </c>
      <c r="C37" s="4" t="s">
        <v>105</v>
      </c>
      <c r="D37" s="4" t="s">
        <v>108</v>
      </c>
      <c r="E37" s="7" t="s">
        <v>11</v>
      </c>
      <c r="F37" s="50">
        <v>76.5</v>
      </c>
      <c r="H37" s="5"/>
    </row>
    <row r="38" spans="1:12" s="8" customFormat="1" ht="15.75" x14ac:dyDescent="0.25">
      <c r="A38" s="7">
        <v>35</v>
      </c>
      <c r="B38" s="4" t="s">
        <v>29</v>
      </c>
      <c r="C38" s="4" t="s">
        <v>30</v>
      </c>
      <c r="D38" s="4" t="s">
        <v>31</v>
      </c>
      <c r="E38" s="7" t="s">
        <v>11</v>
      </c>
      <c r="F38" s="50">
        <v>0</v>
      </c>
      <c r="H38" s="5"/>
    </row>
    <row r="39" spans="1:12" s="8" customFormat="1" ht="15.75" x14ac:dyDescent="0.25">
      <c r="A39" s="52">
        <v>37</v>
      </c>
      <c r="B39" s="4"/>
      <c r="C39" s="4" t="s">
        <v>168</v>
      </c>
      <c r="D39" s="4" t="s">
        <v>165</v>
      </c>
      <c r="E39" s="51" t="s">
        <v>14</v>
      </c>
      <c r="F39" s="50">
        <v>20</v>
      </c>
      <c r="G39" s="5"/>
      <c r="H39" s="5"/>
      <c r="I39" s="5"/>
      <c r="J39" s="5"/>
      <c r="K39" s="5"/>
      <c r="L39" s="5"/>
    </row>
    <row r="40" spans="1:12" s="8" customFormat="1" ht="15.75" x14ac:dyDescent="0.25">
      <c r="A40" s="7">
        <v>38</v>
      </c>
      <c r="B40" s="4"/>
      <c r="C40" s="4" t="s">
        <v>42</v>
      </c>
      <c r="D40" s="4" t="s">
        <v>43</v>
      </c>
      <c r="E40" s="7" t="s">
        <v>11</v>
      </c>
      <c r="F40" s="50">
        <v>0</v>
      </c>
      <c r="H40" s="5"/>
    </row>
    <row r="41" spans="1:12" s="8" customFormat="1" ht="15.75" x14ac:dyDescent="0.25">
      <c r="A41" s="7">
        <v>39</v>
      </c>
      <c r="B41" s="4"/>
      <c r="C41" s="4" t="s">
        <v>113</v>
      </c>
      <c r="D41" s="4" t="s">
        <v>115</v>
      </c>
      <c r="E41" s="7" t="s">
        <v>11</v>
      </c>
      <c r="F41" s="50">
        <v>6.98</v>
      </c>
      <c r="H41" s="5"/>
    </row>
    <row r="42" spans="1:12" s="8" customFormat="1" ht="15.75" x14ac:dyDescent="0.25">
      <c r="A42" s="7">
        <v>40</v>
      </c>
      <c r="B42" s="4" t="s">
        <v>191</v>
      </c>
      <c r="C42" s="4" t="s">
        <v>192</v>
      </c>
      <c r="D42" s="4" t="s">
        <v>193</v>
      </c>
      <c r="E42" s="7" t="s">
        <v>14</v>
      </c>
      <c r="F42" s="50">
        <v>28</v>
      </c>
      <c r="H42" s="5"/>
    </row>
    <row r="43" spans="1:12" s="8" customFormat="1" ht="15.75" x14ac:dyDescent="0.25">
      <c r="A43" s="7">
        <v>41</v>
      </c>
      <c r="B43" s="4"/>
      <c r="C43" s="4" t="s">
        <v>109</v>
      </c>
      <c r="D43" s="4" t="s">
        <v>110</v>
      </c>
      <c r="E43" s="7" t="s">
        <v>14</v>
      </c>
      <c r="F43" s="50">
        <v>0</v>
      </c>
    </row>
    <row r="44" spans="1:12" s="8" customFormat="1" ht="15.75" x14ac:dyDescent="0.25">
      <c r="A44" s="7">
        <v>21</v>
      </c>
      <c r="B44" s="4"/>
      <c r="C44" s="4" t="s">
        <v>21</v>
      </c>
      <c r="D44" s="4" t="s">
        <v>81</v>
      </c>
      <c r="E44" s="7" t="s">
        <v>11</v>
      </c>
      <c r="F44" s="50">
        <v>200</v>
      </c>
      <c r="H44" s="5"/>
    </row>
    <row r="45" spans="1:12" s="8" customFormat="1" ht="15.75" x14ac:dyDescent="0.25">
      <c r="A45" s="7">
        <v>48</v>
      </c>
      <c r="B45" s="4"/>
      <c r="C45" s="4" t="s">
        <v>195</v>
      </c>
      <c r="D45" s="4" t="s">
        <v>194</v>
      </c>
      <c r="E45" s="7" t="s">
        <v>14</v>
      </c>
      <c r="F45" s="50">
        <v>97.9</v>
      </c>
      <c r="H45" s="5"/>
    </row>
    <row r="46" spans="1:12" s="8" customFormat="1" ht="15.75" x14ac:dyDescent="0.25">
      <c r="A46" s="7">
        <v>42</v>
      </c>
      <c r="B46" s="4"/>
      <c r="C46" s="4" t="s">
        <v>153</v>
      </c>
      <c r="D46" s="4" t="s">
        <v>154</v>
      </c>
      <c r="E46" s="7" t="s">
        <v>11</v>
      </c>
      <c r="F46" s="50">
        <v>23.98</v>
      </c>
    </row>
    <row r="47" spans="1:12" s="8" customFormat="1" ht="15.75" x14ac:dyDescent="0.25">
      <c r="A47" s="7">
        <v>43</v>
      </c>
      <c r="B47" s="4"/>
      <c r="C47" s="4" t="s">
        <v>46</v>
      </c>
      <c r="D47" s="4" t="s">
        <v>47</v>
      </c>
      <c r="E47" s="7" t="s">
        <v>14</v>
      </c>
      <c r="F47" s="50">
        <v>83.44</v>
      </c>
      <c r="L47" s="42"/>
    </row>
    <row r="48" spans="1:12" s="8" customFormat="1" ht="15.75" x14ac:dyDescent="0.25">
      <c r="A48" s="7">
        <v>44</v>
      </c>
      <c r="B48" s="4"/>
      <c r="C48" s="4" t="s">
        <v>48</v>
      </c>
      <c r="D48" s="4" t="s">
        <v>50</v>
      </c>
      <c r="E48" s="7" t="s">
        <v>11</v>
      </c>
      <c r="F48" s="50">
        <v>46.69</v>
      </c>
      <c r="L48" s="43"/>
    </row>
    <row r="49" spans="1:12" s="8" customFormat="1" ht="15.75" x14ac:dyDescent="0.25">
      <c r="A49" s="7">
        <v>45</v>
      </c>
      <c r="B49" s="4"/>
      <c r="C49" s="4" t="s">
        <v>44</v>
      </c>
      <c r="D49" s="4" t="s">
        <v>45</v>
      </c>
      <c r="E49" s="7" t="s">
        <v>11</v>
      </c>
      <c r="F49" s="50">
        <v>30.98</v>
      </c>
    </row>
    <row r="50" spans="1:12" s="8" customFormat="1" ht="15.75" x14ac:dyDescent="0.25">
      <c r="A50" s="7">
        <v>46</v>
      </c>
      <c r="B50" s="4"/>
      <c r="C50" s="4" t="s">
        <v>65</v>
      </c>
      <c r="D50" s="4" t="s">
        <v>66</v>
      </c>
      <c r="E50" s="7" t="s">
        <v>11</v>
      </c>
      <c r="F50" s="50">
        <v>359</v>
      </c>
      <c r="L50" s="42"/>
    </row>
    <row r="51" spans="1:12" s="8" customFormat="1" ht="15.75" x14ac:dyDescent="0.25">
      <c r="A51" s="7">
        <v>47</v>
      </c>
      <c r="B51" s="4" t="s">
        <v>8</v>
      </c>
      <c r="C51" s="4" t="s">
        <v>9</v>
      </c>
      <c r="D51" s="4" t="s">
        <v>10</v>
      </c>
      <c r="E51" s="7" t="s">
        <v>11</v>
      </c>
      <c r="F51" s="50">
        <v>8</v>
      </c>
      <c r="J51" s="41"/>
    </row>
    <row r="52" spans="1:12" s="8" customFormat="1" ht="15.75" x14ac:dyDescent="0.25">
      <c r="A52" s="7">
        <v>36</v>
      </c>
      <c r="B52" s="4"/>
      <c r="C52" s="4" t="s">
        <v>12</v>
      </c>
      <c r="D52" s="4" t="s">
        <v>13</v>
      </c>
      <c r="E52" s="7" t="s">
        <v>14</v>
      </c>
      <c r="F52" s="50">
        <v>0</v>
      </c>
      <c r="H52" s="5"/>
      <c r="J52" s="41"/>
    </row>
    <row r="53" spans="1:12" s="17" customFormat="1" ht="15.75" x14ac:dyDescent="0.25">
      <c r="A53" s="5"/>
      <c r="B53" s="44"/>
      <c r="C53" s="44"/>
      <c r="D53" s="44"/>
      <c r="E53" s="5"/>
      <c r="F53" s="5"/>
      <c r="G53" s="5"/>
      <c r="H53" s="5"/>
      <c r="I53" s="5"/>
      <c r="J53" s="5"/>
      <c r="K53" s="5"/>
      <c r="L53" s="5"/>
    </row>
    <row r="54" spans="1:12" s="8" customFormat="1" ht="15.75" x14ac:dyDescent="0.25">
      <c r="A54"/>
      <c r="B54" s="5"/>
      <c r="C54" s="5"/>
      <c r="D54" s="30" t="s">
        <v>4</v>
      </c>
      <c r="E54" s="31"/>
      <c r="F54" s="31">
        <f>SUM(F5:F53)</f>
        <v>3049.4200000000005</v>
      </c>
      <c r="G54" s="45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6"/>
    </row>
    <row r="57" spans="1:12" s="8" customFormat="1" ht="15.75" x14ac:dyDescent="0.25">
      <c r="A57"/>
      <c r="B57" s="5"/>
      <c r="C57" s="5"/>
      <c r="D57" s="5"/>
      <c r="F57" s="15"/>
    </row>
    <row r="58" spans="1:12" s="8" customFormat="1" ht="15.75" x14ac:dyDescent="0.25">
      <c r="A58"/>
      <c r="B58" s="5"/>
      <c r="C58" s="5"/>
      <c r="D58" s="5"/>
      <c r="F58" s="17"/>
    </row>
    <row r="59" spans="1:12" s="8" customFormat="1" ht="15.75" x14ac:dyDescent="0.25">
      <c r="A59"/>
      <c r="B59" s="5"/>
      <c r="C59" s="5"/>
      <c r="D59" s="13"/>
      <c r="E59" s="14"/>
      <c r="F59" s="17"/>
    </row>
    <row r="60" spans="1:12" s="8" customFormat="1" ht="15.75" x14ac:dyDescent="0.25">
      <c r="A60"/>
      <c r="B60" s="5"/>
      <c r="C60" s="5"/>
      <c r="D60" s="13"/>
      <c r="E60" s="14"/>
      <c r="F60" s="16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7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13"/>
      <c r="E81" s="14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s="8" customFormat="1" ht="15.75" x14ac:dyDescent="0.25">
      <c r="A173"/>
      <c r="B173" s="5"/>
      <c r="C173" s="5"/>
      <c r="D173" s="5"/>
      <c r="F173" s="11"/>
    </row>
    <row r="174" spans="1:6" ht="15.75" x14ac:dyDescent="0.25">
      <c r="D174" s="5"/>
      <c r="E174" s="8"/>
      <c r="F174" s="11"/>
    </row>
  </sheetData>
  <sortState xmlns:xlrd2="http://schemas.microsoft.com/office/spreadsheetml/2017/richdata2" ref="A5:L52">
    <sortCondition ref="D5:D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D13" sqref="D13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139</v>
      </c>
    </row>
    <row r="2" spans="1:15" x14ac:dyDescent="0.25">
      <c r="A2" s="2" t="s">
        <v>122</v>
      </c>
      <c r="B2" s="2"/>
      <c r="C2" s="23">
        <f>'TIPS - BOH'!C2</f>
        <v>46074</v>
      </c>
      <c r="G2" t="s">
        <v>143</v>
      </c>
    </row>
    <row r="3" spans="1:15" x14ac:dyDescent="0.25">
      <c r="A3" s="2" t="s">
        <v>123</v>
      </c>
      <c r="B3" s="2"/>
      <c r="C3" s="23">
        <f>'TIPS - BOH'!C3</f>
        <v>46079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198</v>
      </c>
      <c r="G4" s="18" t="s">
        <v>140</v>
      </c>
      <c r="H4" s="49" t="s">
        <v>141</v>
      </c>
      <c r="I4" s="24" t="s">
        <v>142</v>
      </c>
    </row>
    <row r="5" spans="1:15" s="5" customFormat="1" ht="16.5" thickBot="1" x14ac:dyDescent="0.3">
      <c r="A5" s="67"/>
      <c r="B5" s="65"/>
      <c r="C5" s="65"/>
      <c r="D5" s="65"/>
      <c r="E5" s="67"/>
      <c r="F5" s="67"/>
      <c r="G5" s="68"/>
      <c r="H5" s="67"/>
      <c r="I5" s="69"/>
    </row>
    <row r="6" spans="1:15" s="8" customFormat="1" ht="15.75" x14ac:dyDescent="0.25">
      <c r="A6" s="70">
        <v>1</v>
      </c>
      <c r="B6" s="71"/>
      <c r="C6" s="71"/>
      <c r="D6" s="71"/>
      <c r="E6" s="72" t="s">
        <v>11</v>
      </c>
      <c r="F6" s="73"/>
      <c r="G6" s="73"/>
      <c r="H6" s="73"/>
      <c r="I6" s="74"/>
      <c r="K6" s="5"/>
    </row>
    <row r="7" spans="1:15" s="8" customFormat="1" ht="15.75" x14ac:dyDescent="0.25">
      <c r="A7" s="75">
        <v>2</v>
      </c>
      <c r="B7" s="44"/>
      <c r="C7" s="44"/>
      <c r="D7" s="44"/>
      <c r="E7" s="8" t="s">
        <v>11</v>
      </c>
      <c r="F7" s="66"/>
      <c r="G7" s="66"/>
      <c r="H7" s="66"/>
      <c r="I7" s="76"/>
      <c r="K7" s="5"/>
    </row>
    <row r="8" spans="1:15" s="15" customFormat="1" ht="16.5" thickBot="1" x14ac:dyDescent="0.3">
      <c r="A8" s="81">
        <v>3</v>
      </c>
      <c r="B8" s="77"/>
      <c r="C8" s="77"/>
      <c r="D8" s="77"/>
      <c r="E8" s="78"/>
      <c r="F8" s="78"/>
      <c r="G8" s="79"/>
      <c r="H8" s="79"/>
      <c r="I8" s="80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0</v>
      </c>
      <c r="G9" s="32">
        <f>SUM(G6:G8)</f>
        <v>0</v>
      </c>
      <c r="H9" s="32">
        <f>SUM(H6:H8)</f>
        <v>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FA6F-FFA5-4327-ACE0-6F13F83924DD}">
  <dimension ref="A1:E23"/>
  <sheetViews>
    <sheetView tabSelected="1" workbookViewId="0">
      <selection activeCell="B22" sqref="B22"/>
    </sheetView>
  </sheetViews>
  <sheetFormatPr defaultRowHeight="15" x14ac:dyDescent="0.25"/>
  <cols>
    <col min="1" max="1" width="27.28515625" customWidth="1"/>
    <col min="2" max="2" width="14.28515625" style="33" customWidth="1"/>
    <col min="4" max="4" width="26.42578125" customWidth="1"/>
    <col min="5" max="5" width="15.140625" customWidth="1"/>
  </cols>
  <sheetData>
    <row r="1" spans="1:5" ht="28.5" x14ac:dyDescent="0.45">
      <c r="A1" s="85" t="s">
        <v>11</v>
      </c>
      <c r="D1" s="85" t="s">
        <v>200</v>
      </c>
    </row>
    <row r="2" spans="1:5" ht="18.75" x14ac:dyDescent="0.3">
      <c r="A2" s="84" t="s">
        <v>167</v>
      </c>
      <c r="B2" s="33">
        <v>3.12</v>
      </c>
      <c r="D2" s="84" t="s">
        <v>181</v>
      </c>
      <c r="E2" s="33"/>
    </row>
    <row r="3" spans="1:5" ht="18.75" x14ac:dyDescent="0.3">
      <c r="A3" s="84" t="s">
        <v>189</v>
      </c>
      <c r="D3" s="84" t="s">
        <v>210</v>
      </c>
      <c r="E3" s="33"/>
    </row>
    <row r="4" spans="1:5" ht="18.75" x14ac:dyDescent="0.3">
      <c r="A4" s="84" t="s">
        <v>75</v>
      </c>
      <c r="D4" s="84" t="s">
        <v>211</v>
      </c>
      <c r="E4" s="33"/>
    </row>
    <row r="5" spans="1:5" ht="18.75" x14ac:dyDescent="0.3">
      <c r="A5" s="84" t="s">
        <v>155</v>
      </c>
      <c r="B5" s="33">
        <v>1.88</v>
      </c>
      <c r="D5" s="84" t="s">
        <v>145</v>
      </c>
      <c r="E5" s="33">
        <v>39.9</v>
      </c>
    </row>
    <row r="6" spans="1:5" ht="18.75" x14ac:dyDescent="0.3">
      <c r="A6" s="84" t="s">
        <v>201</v>
      </c>
      <c r="D6" s="84" t="s">
        <v>135</v>
      </c>
      <c r="E6" s="33"/>
    </row>
    <row r="7" spans="1:5" ht="18.75" x14ac:dyDescent="0.3">
      <c r="A7" s="84" t="s">
        <v>202</v>
      </c>
      <c r="B7" s="33">
        <v>3.12</v>
      </c>
      <c r="D7" s="84" t="s">
        <v>199</v>
      </c>
      <c r="E7" s="33"/>
    </row>
    <row r="8" spans="1:5" ht="18.75" x14ac:dyDescent="0.3">
      <c r="A8" s="84" t="s">
        <v>203</v>
      </c>
      <c r="D8" s="84" t="s">
        <v>80</v>
      </c>
      <c r="E8" s="33"/>
    </row>
    <row r="9" spans="1:5" ht="18.75" x14ac:dyDescent="0.3">
      <c r="A9" s="84" t="s">
        <v>204</v>
      </c>
      <c r="D9" s="84" t="s">
        <v>26</v>
      </c>
      <c r="E9" s="33"/>
    </row>
    <row r="10" spans="1:5" ht="18.75" x14ac:dyDescent="0.3">
      <c r="A10" s="84" t="s">
        <v>178</v>
      </c>
      <c r="B10" s="33">
        <v>3.12</v>
      </c>
      <c r="D10" s="84" t="s">
        <v>172</v>
      </c>
      <c r="E10" s="33"/>
    </row>
    <row r="11" spans="1:5" ht="18.75" x14ac:dyDescent="0.3">
      <c r="A11" s="84" t="s">
        <v>187</v>
      </c>
      <c r="D11" s="84" t="s">
        <v>52</v>
      </c>
      <c r="E11" s="33"/>
    </row>
    <row r="12" spans="1:5" ht="18.75" x14ac:dyDescent="0.3">
      <c r="A12" s="84" t="s">
        <v>185</v>
      </c>
      <c r="B12" s="33">
        <v>2.2200000000000002</v>
      </c>
      <c r="D12" s="84" t="s">
        <v>156</v>
      </c>
      <c r="E12" s="33"/>
    </row>
    <row r="13" spans="1:5" ht="18.75" x14ac:dyDescent="0.3">
      <c r="A13" s="84" t="s">
        <v>106</v>
      </c>
      <c r="D13" s="84" t="s">
        <v>87</v>
      </c>
      <c r="E13" s="33">
        <v>26.83</v>
      </c>
    </row>
    <row r="14" spans="1:5" ht="18.75" x14ac:dyDescent="0.3">
      <c r="A14" s="84" t="s">
        <v>108</v>
      </c>
      <c r="D14" s="84" t="s">
        <v>137</v>
      </c>
      <c r="E14" s="33"/>
    </row>
    <row r="15" spans="1:5" ht="18.75" x14ac:dyDescent="0.3">
      <c r="A15" s="84" t="s">
        <v>205</v>
      </c>
      <c r="D15" s="84" t="s">
        <v>174</v>
      </c>
      <c r="E15" s="33"/>
    </row>
    <row r="16" spans="1:5" ht="18.75" x14ac:dyDescent="0.3">
      <c r="A16" s="84" t="s">
        <v>160</v>
      </c>
      <c r="B16" s="33">
        <v>3.12</v>
      </c>
      <c r="D16" s="84" t="s">
        <v>165</v>
      </c>
      <c r="E16" s="33"/>
    </row>
    <row r="17" spans="1:5" ht="18.75" x14ac:dyDescent="0.3">
      <c r="A17" s="84" t="s">
        <v>206</v>
      </c>
      <c r="B17" s="33">
        <v>3.12</v>
      </c>
      <c r="D17" s="84" t="s">
        <v>212</v>
      </c>
      <c r="E17" s="33"/>
    </row>
    <row r="18" spans="1:5" ht="18.75" x14ac:dyDescent="0.3">
      <c r="A18" s="84" t="s">
        <v>154</v>
      </c>
      <c r="B18" s="33">
        <v>3.12</v>
      </c>
      <c r="D18" s="84" t="s">
        <v>183</v>
      </c>
      <c r="E18" s="33">
        <v>1.91</v>
      </c>
    </row>
    <row r="19" spans="1:5" ht="18.75" x14ac:dyDescent="0.3">
      <c r="A19" s="84" t="s">
        <v>207</v>
      </c>
      <c r="D19" s="84" t="s">
        <v>194</v>
      </c>
      <c r="E19" s="33">
        <v>0.88</v>
      </c>
    </row>
    <row r="20" spans="1:5" ht="18.75" x14ac:dyDescent="0.3">
      <c r="A20" s="84" t="s">
        <v>208</v>
      </c>
      <c r="B20" s="33">
        <v>0.99</v>
      </c>
      <c r="D20" s="84" t="s">
        <v>213</v>
      </c>
      <c r="E20" s="33"/>
    </row>
    <row r="21" spans="1:5" ht="18.75" x14ac:dyDescent="0.3">
      <c r="A21" s="84" t="s">
        <v>66</v>
      </c>
      <c r="B21" s="33">
        <v>2.3199999999999998</v>
      </c>
      <c r="D21" s="84" t="s">
        <v>148</v>
      </c>
      <c r="E21" s="33">
        <v>2.79</v>
      </c>
    </row>
    <row r="22" spans="1:5" ht="18.75" x14ac:dyDescent="0.3">
      <c r="A22" s="84" t="s">
        <v>209</v>
      </c>
      <c r="D22" s="84" t="s">
        <v>191</v>
      </c>
      <c r="E22" s="33">
        <v>0.88</v>
      </c>
    </row>
    <row r="23" spans="1:5" ht="18.75" x14ac:dyDescent="0.3">
      <c r="A23" s="83"/>
      <c r="D23" s="84" t="s">
        <v>134</v>
      </c>
      <c r="E23" s="33">
        <v>30.67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TIPS - BOH</vt:lpstr>
      <vt:lpstr>TIPS - FOH</vt:lpstr>
      <vt:lpstr>LOANS (NO INSTALLMENTS)</vt:lpstr>
      <vt:lpstr>INSTALLMENT LOANS</vt:lpstr>
      <vt:lpstr>SERVICE CHARGE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2026-02-23T05:25:19Z</dcterms:modified>
</cp:coreProperties>
</file>