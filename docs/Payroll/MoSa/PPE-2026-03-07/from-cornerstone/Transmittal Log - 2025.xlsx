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2ded0e0288f192/Documents/DMS Files/CPA Office/MoSas Hotbox Inc/Transmittals/"/>
    </mc:Choice>
  </mc:AlternateContent>
  <xr:revisionPtr revIDLastSave="472" documentId="8_{F62BA463-0B4D-429A-8F4A-C81AD7236A4D}" xr6:coauthVersionLast="47" xr6:coauthVersionMax="47" xr10:uidLastSave="{B32C10BB-D3FF-4D10-81D6-EEEC66763BC2}"/>
  <bookViews>
    <workbookView xWindow="-19515" yWindow="-1695" windowWidth="18525" windowHeight="20295" xr2:uid="{C22ED6E7-EDF5-44CB-BC9D-78091D3ABCB7}"/>
  </bookViews>
  <sheets>
    <sheet name="2025.11.06" sheetId="36" r:id="rId1"/>
    <sheet name="2025.10.22" sheetId="35" r:id="rId2"/>
    <sheet name="2025.10.09" sheetId="34" r:id="rId3"/>
    <sheet name="2025.09.24" sheetId="33" r:id="rId4"/>
    <sheet name="2025.08.13" sheetId="32" r:id="rId5"/>
    <sheet name="2025.07.29" sheetId="31" r:id="rId6"/>
    <sheet name="2025.07.16" sheetId="30" r:id="rId7"/>
    <sheet name="2025.07.02" sheetId="29" r:id="rId8"/>
    <sheet name="2025.06.17" sheetId="28" r:id="rId9"/>
    <sheet name="2025.05.21 (2)" sheetId="27" r:id="rId10"/>
    <sheet name="2025.05.21" sheetId="26" r:id="rId11"/>
    <sheet name="2025.05.07" sheetId="25" r:id="rId12"/>
    <sheet name="2025.04.23" sheetId="24" r:id="rId13"/>
    <sheet name="2025.04.09" sheetId="23" r:id="rId14"/>
    <sheet name="2025.03.26" sheetId="22" r:id="rId15"/>
    <sheet name="2025.03.12 updated" sheetId="21" r:id="rId16"/>
    <sheet name="2025.03.12" sheetId="20" r:id="rId17"/>
    <sheet name="2025.02.27 Updated" sheetId="19" r:id="rId18"/>
    <sheet name="2025.02.27" sheetId="18" r:id="rId19"/>
    <sheet name="2025.02.12" sheetId="17" r:id="rId20"/>
    <sheet name="2025.01.29" sheetId="16" r:id="rId21"/>
    <sheet name="2025.01.15" sheetId="15" r:id="rId22"/>
    <sheet name="2025.01.01" sheetId="14" r:id="rId23"/>
    <sheet name="2024.12.04" sheetId="13" r:id="rId24"/>
    <sheet name="2024.11.20" sheetId="12" r:id="rId25"/>
    <sheet name="2024.11.06" sheetId="11" r:id="rId26"/>
    <sheet name="2024.10.23" sheetId="10" r:id="rId27"/>
    <sheet name="2024.10.09" sheetId="9" r:id="rId28"/>
    <sheet name="2024.09.24" sheetId="8" r:id="rId29"/>
    <sheet name="2024.09.11" sheetId="7" r:id="rId30"/>
    <sheet name="2024.08.28" sheetId="6" r:id="rId31"/>
    <sheet name="2024.08.15" sheetId="5" r:id="rId32"/>
    <sheet name="2024.07.31b" sheetId="3" r:id="rId33"/>
    <sheet name="2024.07.31a2" sheetId="4" r:id="rId34"/>
    <sheet name="2024.07.31a" sheetId="2" r:id="rId35"/>
    <sheet name="2024.07.18" sheetId="1" r:id="rId36"/>
  </sheets>
  <definedNames>
    <definedName name="_xlnm.Print_Area" localSheetId="33">'2024.07.31a2'!$A$1:$F$16</definedName>
    <definedName name="_xlnm.Print_Area" localSheetId="27">'2024.10.09'!$A$1:$K$39</definedName>
    <definedName name="_xlnm.Print_Area" localSheetId="26">'2024.10.23'!$A$1:$K$39</definedName>
    <definedName name="_xlnm.Print_Area" localSheetId="25">'2024.11.06'!$A$1:$K$39</definedName>
    <definedName name="_xlnm.Print_Area" localSheetId="24">'2024.11.20'!$A$1:$K$39</definedName>
    <definedName name="_xlnm.Print_Area" localSheetId="23">'2024.12.04'!$A$1:$K$47</definedName>
    <definedName name="_xlnm.Print_Area" localSheetId="22">'2025.01.01'!$A$1:$J$40</definedName>
    <definedName name="_xlnm.Print_Area" localSheetId="21">'2025.01.15'!$A$1:$I$40</definedName>
    <definedName name="_xlnm.Print_Area" localSheetId="20">'2025.01.29'!$A$1:$I$40</definedName>
    <definedName name="_xlnm.Print_Area" localSheetId="19">'2025.02.12'!$A$1:$I$40</definedName>
    <definedName name="_xlnm.Print_Area" localSheetId="18">'2025.02.27'!$A$1:$I$41</definedName>
    <definedName name="_xlnm.Print_Area" localSheetId="17">'2025.02.27 Updated'!$A$1:$I$41</definedName>
    <definedName name="_xlnm.Print_Area" localSheetId="16">'2025.03.12'!$A$1:$I$41</definedName>
    <definedName name="_xlnm.Print_Area" localSheetId="15">'2025.03.12 updated'!$A$1:$I$41</definedName>
    <definedName name="_xlnm.Print_Area" localSheetId="14">'2025.03.26'!$A$1:$I$41</definedName>
    <definedName name="_xlnm.Print_Area" localSheetId="13">'2025.04.09'!$A$1:$I$41</definedName>
    <definedName name="_xlnm.Print_Area" localSheetId="12">'2025.04.23'!$A$1:$I$52</definedName>
    <definedName name="_xlnm.Print_Area" localSheetId="11">'2025.05.07'!$A$1:$I$53</definedName>
    <definedName name="_xlnm.Print_Area" localSheetId="10">'2025.05.21'!$A$1:$J$53</definedName>
    <definedName name="_xlnm.Print_Area" localSheetId="9">'2025.05.21 (2)'!$A$1:$J$53</definedName>
    <definedName name="_xlnm.Print_Area" localSheetId="8">'2025.06.17'!$A$1:$J$53</definedName>
    <definedName name="_xlnm.Print_Area" localSheetId="7">'2025.07.02'!$A$1:$K$54</definedName>
    <definedName name="_xlnm.Print_Area" localSheetId="6">'2025.07.16'!$A$1:$J$66</definedName>
    <definedName name="_xlnm.Print_Area" localSheetId="5">'2025.07.29'!$A$1:$J$59</definedName>
    <definedName name="_xlnm.Print_Area" localSheetId="4">'2025.08.13'!$A$1:$J$59</definedName>
    <definedName name="_xlnm.Print_Area" localSheetId="3">'2025.09.24'!$A$1:$J$55</definedName>
    <definedName name="_xlnm.Print_Area" localSheetId="2">'2025.10.09'!$A$1:$J$55</definedName>
    <definedName name="_xlnm.Print_Area" localSheetId="1">'2025.10.22'!$A$1:$J$55</definedName>
    <definedName name="_xlnm.Print_Area" localSheetId="0">'2025.11.06'!$A$1:$J$55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6" l="1"/>
  <c r="D17" i="35"/>
  <c r="D17" i="34" l="1"/>
  <c r="D17" i="33"/>
  <c r="D17" i="32"/>
  <c r="D17" i="31" l="1"/>
  <c r="D33" i="30" l="1"/>
  <c r="D17" i="30"/>
  <c r="D17" i="29"/>
  <c r="D29" i="28"/>
  <c r="D17" i="28"/>
  <c r="D17" i="27"/>
  <c r="D17" i="26" l="1"/>
  <c r="C17" i="25"/>
  <c r="C16" i="24"/>
  <c r="C32" i="11"/>
  <c r="H23" i="4"/>
  <c r="H41" i="3" l="1"/>
  <c r="E10" i="3"/>
  <c r="E10" i="2" l="1"/>
  <c r="H23" i="2"/>
</calcChain>
</file>

<file path=xl/sharedStrings.xml><?xml version="1.0" encoding="utf-8"?>
<sst xmlns="http://schemas.openxmlformats.org/spreadsheetml/2006/main" count="1891" uniqueCount="231">
  <si>
    <t>Client:</t>
  </si>
  <si>
    <t>Date:</t>
  </si>
  <si>
    <t>MoSa's Hotbox, Inc.</t>
  </si>
  <si>
    <t>Dafne M Shimizu, CPA</t>
  </si>
  <si>
    <t>Transmittal</t>
  </si>
  <si>
    <t>Documents Provided to Client:</t>
  </si>
  <si>
    <t>1)</t>
  </si>
  <si>
    <t>Payroll checks for 49 employees</t>
  </si>
  <si>
    <t xml:space="preserve">2) </t>
  </si>
  <si>
    <t>Check #</t>
  </si>
  <si>
    <t>Checks #</t>
  </si>
  <si>
    <t>Amount:</t>
  </si>
  <si>
    <t>Payable to:</t>
  </si>
  <si>
    <t>For:</t>
  </si>
  <si>
    <t>3)</t>
  </si>
  <si>
    <t>Treasurer of Guam</t>
  </si>
  <si>
    <t>Child Support for PPE 2024.06.30</t>
  </si>
  <si>
    <t>Child Support for PPE 2024.07.14</t>
  </si>
  <si>
    <t>4)</t>
  </si>
  <si>
    <t>FIT (Withholding) for PPE 2024.07.14</t>
  </si>
  <si>
    <t>Note:</t>
  </si>
  <si>
    <t>5)</t>
  </si>
  <si>
    <t>Reports:</t>
  </si>
  <si>
    <t>Retirement Plans Report</t>
  </si>
  <si>
    <t>Deductions and Contributions Report</t>
  </si>
  <si>
    <t>Paycheck History</t>
  </si>
  <si>
    <t>Payroll Summary by Employee</t>
  </si>
  <si>
    <t>through</t>
  </si>
  <si>
    <t>401K Upload to be done 7/19/24</t>
  </si>
  <si>
    <t>Checks for Treasurer of Guam to be picked up so that payment can be made at DRT</t>
  </si>
  <si>
    <t>2)</t>
  </si>
  <si>
    <t>Total to be deducted from bank account for Future Plan</t>
  </si>
  <si>
    <t>EFTPS Payment (for Social Security and Medicare) to be done 7/19/24</t>
  </si>
  <si>
    <t>To be deducted from bank account for Social Security/Medicare Taxes</t>
  </si>
  <si>
    <t>Payroll checks</t>
  </si>
  <si>
    <t>Child Support PPE</t>
  </si>
  <si>
    <t>2024.07.28</t>
  </si>
  <si>
    <t>FIT (Withholding) for PPE</t>
  </si>
  <si>
    <t>401K Upload to be done</t>
  </si>
  <si>
    <t>EFTPS Payment (for Social Security and Medicare) to be done</t>
  </si>
  <si>
    <t>Checks for Treasurer of Guam to be picked up by Ramil on Friday, 8/2/24 so that payments can be made</t>
  </si>
  <si>
    <t>Delivered by Ramil</t>
  </si>
  <si>
    <t>PD</t>
  </si>
  <si>
    <t>2024.08.01</t>
  </si>
  <si>
    <t>Brandon Mariano</t>
  </si>
  <si>
    <t>Checks for Treasurer of Guam for taxes and child support to be delivered by Monday for payment by Tuesday, 8/6</t>
  </si>
  <si>
    <t>Payroll check</t>
  </si>
  <si>
    <t>Payroll checks for 51 employees</t>
  </si>
  <si>
    <t>Child Support for PPE 2024.08.11</t>
  </si>
  <si>
    <t>FIT (Withholding) for PPE 2024.08.11</t>
  </si>
  <si>
    <t>401K Upload to be done 8/16/24</t>
  </si>
  <si>
    <t>EFTPS Payment (for Social Security and Medicare) to be done 8/16/24</t>
  </si>
  <si>
    <t>Child Support for PPE 2024.08.25</t>
  </si>
  <si>
    <t>FIT (Withholding) for PPE 2024.08.25</t>
  </si>
  <si>
    <t>401K Upload to be done 8/30/24</t>
  </si>
  <si>
    <t>EFTPS Payment (for Social Security and Medicare) to be done 8/30/24</t>
  </si>
  <si>
    <t>Payroll checks for 52 employees and 1 check for independent contractor</t>
  </si>
  <si>
    <t>Received by:</t>
  </si>
  <si>
    <t>Date Rec'd</t>
  </si>
  <si>
    <t>Payroll checks for 50 employees and 1 check for independent contractor</t>
  </si>
  <si>
    <t>Child Support for PPE 2024.09.08</t>
  </si>
  <si>
    <t>FIT (Withholding) for PPE 2024.09.08</t>
  </si>
  <si>
    <t>401K Upload to be done 9/13/24</t>
  </si>
  <si>
    <t>EFTPS Payment (for Social Security and Medicare) to be done 9/13/24</t>
  </si>
  <si>
    <t>Payroll checks for 48 employees and 1 check for independent contractor</t>
  </si>
  <si>
    <t>Child Support for PPE 2024.09.22</t>
  </si>
  <si>
    <t>FIT (Withholding) for PPE 2024.09.22</t>
  </si>
  <si>
    <t>401K Upload to be done 9/27/24</t>
  </si>
  <si>
    <t>EFTPS Payment (for Social Security and Medicare) to be done 9/27/24</t>
  </si>
  <si>
    <t>Payroll checks for 49 employees and 1 check for independent contractor</t>
  </si>
  <si>
    <t>Child Support for PPE 2024.10.06</t>
  </si>
  <si>
    <t>FIT (Withholding) for PPE 2024.10.06</t>
  </si>
  <si>
    <t>401K Upload to be done 10/11/24</t>
  </si>
  <si>
    <t>EFTPS Payment (for Social Security and Medicare) to be done 10/11/24</t>
  </si>
  <si>
    <t xml:space="preserve">4) </t>
  </si>
  <si>
    <t>Please provide Form W-4 for Isabella Respicio</t>
  </si>
  <si>
    <t xml:space="preserve">5) </t>
  </si>
  <si>
    <t>No payroll check for Jerome Harris, therefore, no payment deducted for health insurance</t>
  </si>
  <si>
    <t>6)</t>
  </si>
  <si>
    <t xml:space="preserve">Sara Doctor - 401K contribution - exceeded $23K cap for regular. </t>
  </si>
  <si>
    <t>Deducting catch-up contribution</t>
  </si>
  <si>
    <t>Payroll checks for 51 employees and 1 check for independent contractor</t>
  </si>
  <si>
    <t>FIT (Withholding) for PPE 2024.10.20</t>
  </si>
  <si>
    <t>Child Support for PPE 2024.10.20</t>
  </si>
  <si>
    <t>401K Upload to be done 10/25/24</t>
  </si>
  <si>
    <t>EFTPS Payment (for Social Security and Medicare) to be done 10/25/24</t>
  </si>
  <si>
    <t>$5,010.55</t>
  </si>
  <si>
    <t>Child Support for PPE 2024.11.03</t>
  </si>
  <si>
    <t>FIT (Withholding) for PPE 2024.11.03</t>
  </si>
  <si>
    <t>EFTPS Payment (for Social Security and Medicare) to be done 11/07/24</t>
  </si>
  <si>
    <t>401K Upload to be done 11/07/24</t>
  </si>
  <si>
    <t>Child Support for PPE 2024.11.17</t>
  </si>
  <si>
    <t>FIT (Withholding) for PPE 2024.11.17</t>
  </si>
  <si>
    <t>401K Upload to be done 11/22/24</t>
  </si>
  <si>
    <t>EFTPS Payment (for Social Security and Medicare) to be done 11/22/24</t>
  </si>
  <si>
    <t>Payment to State of Washington for Child Support - total of $231.23</t>
  </si>
  <si>
    <t>Child Support for PPE 2024.12.01</t>
  </si>
  <si>
    <t>FIT (Withholding) for PPE 2024.12.01</t>
  </si>
  <si>
    <t>Washington State Child Support for PPE 2024.12.01</t>
  </si>
  <si>
    <t>Check for independent contractor (B. Mariano)</t>
  </si>
  <si>
    <t>401K Upload to be done 12/6/24</t>
  </si>
  <si>
    <t>EFTPS Payment (for Social Security and Medicare) to be done 12/6/24</t>
  </si>
  <si>
    <t>Payroll checks for 48 employees</t>
  </si>
  <si>
    <t>Paid by D.Shimizu (to be invoiced to MoSa's)</t>
  </si>
  <si>
    <t>Child Support for PPE 2024.12.29</t>
  </si>
  <si>
    <t>FIT (Withholding) for PPE 2024.12.29</t>
  </si>
  <si>
    <t>401K Upload to be done 01/03/25</t>
  </si>
  <si>
    <t>EFTPS Payment (for Social Security and Medicare) to be done 01/03/25</t>
  </si>
  <si>
    <t>Payroll checks for 50 employees</t>
  </si>
  <si>
    <t>Payroll checks for 47 employees</t>
  </si>
  <si>
    <t>Child Support for PPE 2025.01.12</t>
  </si>
  <si>
    <t>FIT (Withholding) for PPE 2025.01.12</t>
  </si>
  <si>
    <t>401K Upload to be done 01/17/25</t>
  </si>
  <si>
    <t>EFTPS Payment (for Social Security and Medicare) to be done 01/17/25</t>
  </si>
  <si>
    <t>Child Support for PPE 2025.01.26</t>
  </si>
  <si>
    <t>FIT (Withholding) for PPE 2025.01.26</t>
  </si>
  <si>
    <t>401K Upload to be done 01/31/25</t>
  </si>
  <si>
    <t>EFTPS Payment (for Social Security and Medicare) to be done 01/31/25</t>
  </si>
  <si>
    <t>$5,865.90</t>
  </si>
  <si>
    <t>Child Support for PPE 2025.02.09</t>
  </si>
  <si>
    <t>FIT (Withholding) for PPE 2025.02.09</t>
  </si>
  <si>
    <t>EFTPS Payment (for Social Security and Medicare) to be done 02/14/25</t>
  </si>
  <si>
    <t>401K Upload to be done 02/14/25</t>
  </si>
  <si>
    <t>Child Support for PPE 2025.02.23</t>
  </si>
  <si>
    <t>FIT (Withholding) for PPE 2025.02.23</t>
  </si>
  <si>
    <t>401K Upload to be done 02/27/25</t>
  </si>
  <si>
    <t>EFTPS Payment (for Social Security and Medicare) to be done 02/27/25</t>
  </si>
  <si>
    <t xml:space="preserve">Payroll checks </t>
  </si>
  <si>
    <t>Number of Checks</t>
  </si>
  <si>
    <t>NOTE: UPDATING FOR INTERNAL USE ONLY; DID NOT PROVIDE TO MOSA'S; CHANGED DUE TO 2 NEW EE'S PAY RATES WERE $10.25 NOT $9.25.  THE ONLY ITEM TO CHANGE WAS SOCIAL SECURITY/MEDICARE WHICH IS UPDATED ON THIS WORKSHEET</t>
  </si>
  <si>
    <t>Child Support for PPE 2025.03.09</t>
  </si>
  <si>
    <t>FIT (Withholding) for PPE 2025.03.09</t>
  </si>
  <si>
    <t>401K Upload to be done 03/13/25</t>
  </si>
  <si>
    <t>EFTPS Payment (for Social Security and Medicare) to be done 03/13/25</t>
  </si>
  <si>
    <t>Child Support for PPE 2025.03.23</t>
  </si>
  <si>
    <t>FIT (Withholding) for PPE 2025.03.23</t>
  </si>
  <si>
    <t>401K Upload to be done 03/27/25</t>
  </si>
  <si>
    <t>EFTPS Payment (for Social Security and Medicare) to be done 03/27/25</t>
  </si>
  <si>
    <t>Child Support for PPE 2025.04.06</t>
  </si>
  <si>
    <t>FIT (Withholding) for PPE 2025.04.06</t>
  </si>
  <si>
    <t>401K Upload to be done 04/11/25</t>
  </si>
  <si>
    <t>EFTPS Payment (for Social Security and Medicare) to be done 04/11/25</t>
  </si>
  <si>
    <t>Child Support for PPE 2025.04.20</t>
  </si>
  <si>
    <t>0000029394 DM0418-13 (Moyer)</t>
  </si>
  <si>
    <t>Description/Memo:</t>
  </si>
  <si>
    <t>0000030166CS0018-25 (Quichocho)</t>
  </si>
  <si>
    <t>FIT (Withholding) for PPE 2025.04.20</t>
  </si>
  <si>
    <t>401K Upload to be done 04/25/25</t>
  </si>
  <si>
    <t>EFTPS Payment (for Social Security and Medicare) to be done 04/25/25</t>
  </si>
  <si>
    <t>Payment to State of Washington for Child Support - total of $168.00</t>
  </si>
  <si>
    <t>For 36.5 Hours</t>
  </si>
  <si>
    <t>Pay Day:</t>
  </si>
  <si>
    <t>Child Support for PPE 2025.05.04</t>
  </si>
  <si>
    <t>For 60 Hours 4/21/25 - 5/4/25  minus $17.45 Loan</t>
  </si>
  <si>
    <t>401K Upload to be done 05/09/25</t>
  </si>
  <si>
    <t>EFTPS Payment (for Social Security and Medicare) to be done 05/09/25</t>
  </si>
  <si>
    <t>For 55.25 Hours 5/5/25 - 5/18/25  minus $9.47 Loan</t>
  </si>
  <si>
    <t>Child Support for PPE 2025.05.18</t>
  </si>
  <si>
    <t>FIT (Withholding) for PPE 2025.05.18</t>
  </si>
  <si>
    <t>401K Upload to be done 05/23/25</t>
  </si>
  <si>
    <t>EFTPS Payment (for Social Security and Medicare) to be done 05/23/25</t>
  </si>
  <si>
    <t>Employee Installment Loan Report</t>
  </si>
  <si>
    <t>For 46.65 Hours 5/19/25 - 6/1/25  minus $8.98 Loan</t>
  </si>
  <si>
    <t>Child Support for PPE 2025.6.01</t>
  </si>
  <si>
    <t>FIT (Withholding) for PPE 2025.06.01</t>
  </si>
  <si>
    <t>401K Upload to be done 06/05/25</t>
  </si>
  <si>
    <t>EFTPS Payment (for Social Security and Medicare) to be done 06/05/25</t>
  </si>
  <si>
    <t>For 44.5 Hours 6/2/25 - 6/15/25  minus $13.46 Loan</t>
  </si>
  <si>
    <t>Child Support for PPE 2025.6.15</t>
  </si>
  <si>
    <t>401K Upload to be done 06/20/25</t>
  </si>
  <si>
    <t>EFTPS Payment (for Social Security and Medicare) to be done 06/20/25</t>
  </si>
  <si>
    <t>Payment to State of Washington for Child Support for Verna John  - total of $168.00</t>
  </si>
  <si>
    <t>Withholding for PPE 2025.06.15</t>
  </si>
  <si>
    <t>For 47.65 Hours 6/16/25 - 6/29/25</t>
  </si>
  <si>
    <t>Child Support for PPE 2025.6.29</t>
  </si>
  <si>
    <t>Withholding for PPE 2025.06.29</t>
  </si>
  <si>
    <t>401K Upload to be done 07/03/25</t>
  </si>
  <si>
    <t>EFTPS Payment (for Social Security and Medicare) to be done 07/03/25</t>
  </si>
  <si>
    <t>Third Quarter 2025</t>
  </si>
  <si>
    <t>Child Support for PPE 2025.7.13</t>
  </si>
  <si>
    <t>Withholding for PPE 2025.07.13</t>
  </si>
  <si>
    <t>401K Upload to be done 07/18/25</t>
  </si>
  <si>
    <t>EFTPS Payment (for Social Security and Medicare) to be done 07/16/25</t>
  </si>
  <si>
    <t>a</t>
  </si>
  <si>
    <t>b</t>
  </si>
  <si>
    <t>Child Support for PPE 2025.5.07</t>
  </si>
  <si>
    <t>To correct error in check # 3295</t>
  </si>
  <si>
    <t>For 58.45 Hours 6/30/25 - 7/13/25 less $21.19 loan</t>
  </si>
  <si>
    <t>7)</t>
  </si>
  <si>
    <t>June 2025 GRT</t>
  </si>
  <si>
    <t>For 43.15 Hours 7/14/25 - 7/27/25</t>
  </si>
  <si>
    <t>Child Support for PPE 2025.7.27 PD 2025.07.31</t>
  </si>
  <si>
    <t>Withholding for PPE 2025.07.27 PD 2025.07.31</t>
  </si>
  <si>
    <t>Sworn Annual Report</t>
  </si>
  <si>
    <t>401K Upload to be done 07/31/25</t>
  </si>
  <si>
    <t>EFTPS Payment (for Social Security and Medicare) to be done 07/31/25</t>
  </si>
  <si>
    <t>Child Support for PPE 2025.8.10 PD 2025.08.14</t>
  </si>
  <si>
    <t>Withholding for PPE 2025.08.10 PD 2025.08.14</t>
  </si>
  <si>
    <t>July 2025 GRT</t>
  </si>
  <si>
    <t>For 52.3 Hours 7/26/25 - 8/10/25</t>
  </si>
  <si>
    <t>401K Upload to be done 08/15/25</t>
  </si>
  <si>
    <t>EFTPS Payment (for Social Security and Medicare) to be done 08/15/25</t>
  </si>
  <si>
    <t>For 52.5 Hours 9/7/25 - 9/20/25</t>
  </si>
  <si>
    <t>Withholding for PPE 2025.09.21 PD 2025.09.25</t>
  </si>
  <si>
    <t>Dafne M. Shimizu CPA</t>
  </si>
  <si>
    <t>Reimbursement for child support payments</t>
  </si>
  <si>
    <t>7/27; 8/10; 8/23; 9/7; 9/25</t>
  </si>
  <si>
    <t>401K Upload to be done 09/27/25</t>
  </si>
  <si>
    <t>EFTPS Payment (for Social Security and Medicare) to be done 09/26/25</t>
  </si>
  <si>
    <t xml:space="preserve">Paid by D.Shimizu </t>
  </si>
  <si>
    <t>$168 per pay period</t>
  </si>
  <si>
    <t>Child Support for PPE 2025.9.21 PD 2025.09.25</t>
  </si>
  <si>
    <t>For 40 Hours 9/21/25 - 10/5/25</t>
  </si>
  <si>
    <t>Child Support for PPE 2025.10.05 PD 2025.10.09</t>
  </si>
  <si>
    <t>Withholding for PPE 2025.10.05 PD 2025.10.09</t>
  </si>
  <si>
    <t>PPE 2025.10.05 PD 2025.10.09</t>
  </si>
  <si>
    <t>Fourth Quarter 2025</t>
  </si>
  <si>
    <t>401K Upload to be done 10/10/25</t>
  </si>
  <si>
    <t>Total to be deducted from bank account for Ascensus</t>
  </si>
  <si>
    <t>Child Support for PPE 2025.10.19 PD 2025.10.23</t>
  </si>
  <si>
    <t>Withholding for PPE 2025.10.19 PD 2025.10.23</t>
  </si>
  <si>
    <t>PPE 2025.10.19 PD 2025.10.23</t>
  </si>
  <si>
    <t>401K Upload to be done 10/24/25</t>
  </si>
  <si>
    <t>EFTPS Payment (for Social Security and Medicare) to be done 10/24/25</t>
  </si>
  <si>
    <t>For 45.15 Hours 10/6/25 - 10/19/25 less loan $36.05</t>
  </si>
  <si>
    <t>For 58 Hours 10/20/25 - 11/02/25 less loan $17.96</t>
  </si>
  <si>
    <t>PPE 2025.11.02 PD 2025.11.06</t>
  </si>
  <si>
    <t xml:space="preserve">Child Support </t>
  </si>
  <si>
    <t>Withholding</t>
  </si>
  <si>
    <t>401K Upload to be done 11/7/25</t>
  </si>
  <si>
    <t>EFTPS Payment (for Social Security and Medicare) to be done 11/7/25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</si>
</sst>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[$$-409]\ ###,##0.00"/>
  </numFmts>
  <fonts count="3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i/>
      <sz val="11"/>
      <color rgb="FF00B0F0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Calibri"/>
      <family val="2"/>
    </font>
    <font>
      <b/>
      <sz val="11"/>
      <color theme="1"/>
      <name val="Aptos (BODY)"/>
    </font>
    <font>
      <sz val="11"/>
      <color theme="1"/>
      <name val="Aptos (BODY)"/>
    </font>
    <font>
      <sz val="11"/>
      <color rgb="FF00B0F0"/>
      <name val="Aptos (BODY)"/>
    </font>
    <font>
      <b/>
      <sz val="11"/>
      <name val="Aptos (BODY)"/>
    </font>
    <font>
      <b/>
      <i/>
      <sz val="11"/>
      <color rgb="FF00B0F0"/>
      <name val="Aptos (BODY)"/>
    </font>
    <font>
      <sz val="12"/>
      <name val="Aptos (BODY)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00B0F0"/>
      <name val="Aptos Display"/>
      <family val="2"/>
      <scheme val="major"/>
    </font>
    <font>
      <b/>
      <sz val="11"/>
      <name val="Aptos Display"/>
      <family val="2"/>
      <scheme val="major"/>
    </font>
    <font>
      <b/>
      <i/>
      <sz val="11"/>
      <color rgb="FF00B0F0"/>
      <name val="Aptos Display"/>
      <family val="2"/>
      <scheme val="major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4"/>
      <color rgb="FF00B0F0"/>
      <name val="Aptos Display"/>
      <family val="2"/>
      <scheme val="major"/>
    </font>
    <font>
      <b/>
      <sz val="14"/>
      <name val="Aptos Display"/>
      <family val="2"/>
      <scheme val="major"/>
    </font>
    <font>
      <b/>
      <i/>
      <sz val="14"/>
      <color rgb="FF00B0F0"/>
      <name val="Aptos Display"/>
      <family val="2"/>
      <scheme val="major"/>
    </font>
    <font>
      <sz val="14"/>
      <name val="Aptos Display"/>
      <family val="2"/>
      <scheme val="major"/>
    </font>
    <font>
      <sz val="14"/>
      <color theme="1"/>
      <name val="Aptos (BODY)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B0F0"/>
      <name val="Aptos Narrow"/>
      <family val="2"/>
      <scheme val="minor"/>
    </font>
    <font>
      <b/>
      <sz val="14"/>
      <name val="Aptos Narrow"/>
      <family val="2"/>
      <scheme val="minor"/>
    </font>
    <font>
      <b/>
      <i/>
      <sz val="14"/>
      <color rgb="FF00B0F0"/>
      <name val="Aptos Narrow"/>
      <family val="2"/>
      <scheme val="minor"/>
    </font>
    <font>
      <sz val="1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81">
    <xf numFmtId="0" fontId="0" fillId="0" borderId="0" xfId="0"/>
    <xf numFmtId="14" fontId="0" fillId="0" borderId="0" xfId="0" applyNumberFormat="1"/>
    <xf numFmtId="6" fontId="0" fillId="0" borderId="0" xfId="0" applyNumberFormat="1"/>
    <xf numFmtId="8" fontId="0" fillId="0" borderId="0" xfId="0" applyNumberFormat="1"/>
    <xf numFmtId="0" fontId="0" fillId="2" borderId="0" xfId="0" applyFill="1"/>
    <xf numFmtId="6" fontId="0" fillId="2" borderId="0" xfId="0" applyNumberFormat="1" applyFill="1"/>
    <xf numFmtId="8" fontId="0" fillId="2" borderId="0" xfId="0" applyNumberFormat="1" applyFill="1"/>
    <xf numFmtId="14" fontId="0" fillId="2" borderId="0" xfId="0" applyNumberForma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0" fontId="4" fillId="0" borderId="0" xfId="0" applyFont="1"/>
    <xf numFmtId="164" fontId="5" fillId="0" borderId="0" xfId="0" applyNumberFormat="1" applyFont="1" applyAlignment="1">
      <alignment horizontal="right"/>
    </xf>
    <xf numFmtId="8" fontId="0" fillId="0" borderId="0" xfId="0" applyNumberForma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2" xfId="0" applyFont="1" applyBorder="1"/>
    <xf numFmtId="0" fontId="7" fillId="0" borderId="2" xfId="0" applyFont="1" applyBorder="1"/>
    <xf numFmtId="14" fontId="7" fillId="0" borderId="0" xfId="0" applyNumberFormat="1" applyFont="1"/>
    <xf numFmtId="0" fontId="7" fillId="2" borderId="0" xfId="0" applyFont="1" applyFill="1"/>
    <xf numFmtId="6" fontId="7" fillId="0" borderId="0" xfId="0" applyNumberFormat="1" applyFont="1"/>
    <xf numFmtId="164" fontId="11" fillId="0" borderId="0" xfId="0" applyNumberFormat="1" applyFont="1" applyAlignment="1">
      <alignment horizontal="right"/>
    </xf>
    <xf numFmtId="8" fontId="7" fillId="0" borderId="0" xfId="0" applyNumberFormat="1" applyFont="1" applyAlignment="1">
      <alignment horizontal="left"/>
    </xf>
    <xf numFmtId="8" fontId="7" fillId="0" borderId="0" xfId="0" applyNumberFormat="1" applyFont="1"/>
    <xf numFmtId="0" fontId="7" fillId="3" borderId="0" xfId="0" applyFont="1" applyFill="1"/>
    <xf numFmtId="8" fontId="7" fillId="4" borderId="0" xfId="0" applyNumberFormat="1" applyFont="1" applyFill="1" applyAlignment="1">
      <alignment horizontal="left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2" xfId="0" applyFont="1" applyBorder="1"/>
    <xf numFmtId="0" fontId="13" fillId="0" borderId="2" xfId="0" applyFont="1" applyBorder="1"/>
    <xf numFmtId="14" fontId="13" fillId="0" borderId="0" xfId="0" applyNumberFormat="1" applyFont="1"/>
    <xf numFmtId="0" fontId="13" fillId="3" borderId="0" xfId="0" applyFont="1" applyFill="1"/>
    <xf numFmtId="0" fontId="13" fillId="2" borderId="0" xfId="0" applyFont="1" applyFill="1"/>
    <xf numFmtId="6" fontId="13" fillId="0" borderId="0" xfId="0" applyNumberFormat="1" applyFont="1"/>
    <xf numFmtId="164" fontId="17" fillId="0" borderId="0" xfId="0" applyNumberFormat="1" applyFont="1" applyAlignment="1">
      <alignment horizontal="right"/>
    </xf>
    <xf numFmtId="8" fontId="13" fillId="0" borderId="0" xfId="0" applyNumberFormat="1" applyFont="1" applyAlignment="1">
      <alignment horizontal="left"/>
    </xf>
    <xf numFmtId="8" fontId="13" fillId="0" borderId="0" xfId="0" applyNumberFormat="1" applyFont="1"/>
    <xf numFmtId="44" fontId="13" fillId="0" borderId="0" xfId="1" applyFont="1"/>
    <xf numFmtId="44" fontId="13" fillId="0" borderId="0" xfId="1" applyFont="1" applyFill="1"/>
    <xf numFmtId="44" fontId="13" fillId="0" borderId="0" xfId="0" applyNumberFormat="1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2" xfId="0" applyFont="1" applyBorder="1"/>
    <xf numFmtId="0" fontId="20" fillId="0" borderId="2" xfId="0" applyFont="1" applyBorder="1"/>
    <xf numFmtId="14" fontId="20" fillId="0" borderId="0" xfId="0" applyNumberFormat="1" applyFont="1"/>
    <xf numFmtId="0" fontId="20" fillId="3" borderId="0" xfId="0" applyFont="1" applyFill="1"/>
    <xf numFmtId="0" fontId="20" fillId="2" borderId="0" xfId="0" applyFont="1" applyFill="1"/>
    <xf numFmtId="44" fontId="20" fillId="0" borderId="0" xfId="1" applyFont="1" applyFill="1"/>
    <xf numFmtId="44" fontId="20" fillId="0" borderId="0" xfId="0" applyNumberFormat="1" applyFont="1"/>
    <xf numFmtId="44" fontId="20" fillId="0" borderId="0" xfId="1" applyFont="1"/>
    <xf numFmtId="164" fontId="24" fillId="0" borderId="0" xfId="0" applyNumberFormat="1" applyFont="1" applyAlignment="1">
      <alignment horizontal="right"/>
    </xf>
    <xf numFmtId="8" fontId="20" fillId="0" borderId="0" xfId="0" applyNumberFormat="1" applyFont="1" applyAlignment="1">
      <alignment horizontal="left"/>
    </xf>
    <xf numFmtId="0" fontId="25" fillId="0" borderId="0" xfId="0" applyFont="1"/>
    <xf numFmtId="8" fontId="25" fillId="0" borderId="0" xfId="0" applyNumberFormat="1" applyFont="1"/>
    <xf numFmtId="8" fontId="20" fillId="0" borderId="0" xfId="0" applyNumberFormat="1" applyFont="1"/>
    <xf numFmtId="8" fontId="20" fillId="5" borderId="0" xfId="0" applyNumberFormat="1" applyFont="1" applyFill="1" applyAlignment="1">
      <alignment horizontal="left"/>
    </xf>
    <xf numFmtId="0" fontId="25" fillId="5" borderId="0" xfId="0" applyFont="1" applyFill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2" xfId="0" applyFont="1" applyBorder="1"/>
    <xf numFmtId="0" fontId="27" fillId="0" borderId="2" xfId="0" applyFont="1" applyBorder="1"/>
    <xf numFmtId="14" fontId="27" fillId="0" borderId="0" xfId="0" applyNumberFormat="1" applyFont="1"/>
    <xf numFmtId="0" fontId="27" fillId="3" borderId="0" xfId="0" applyFont="1" applyFill="1"/>
    <xf numFmtId="0" fontId="27" fillId="2" borderId="0" xfId="0" applyFont="1" applyFill="1"/>
    <xf numFmtId="44" fontId="27" fillId="0" borderId="0" xfId="1" applyFont="1" applyFill="1"/>
    <xf numFmtId="44" fontId="27" fillId="0" borderId="0" xfId="0" applyNumberFormat="1" applyFont="1"/>
    <xf numFmtId="44" fontId="27" fillId="0" borderId="0" xfId="1" applyFont="1"/>
    <xf numFmtId="164" fontId="31" fillId="0" borderId="0" xfId="0" applyNumberFormat="1" applyFont="1" applyAlignment="1">
      <alignment horizontal="right"/>
    </xf>
    <xf numFmtId="8" fontId="27" fillId="0" borderId="0" xfId="0" applyNumberFormat="1" applyFont="1" applyAlignment="1">
      <alignment horizontal="left"/>
    </xf>
    <xf numFmtId="8" fontId="27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4DAC4F-D513-44AE-B636-8752878B7095}">
  <we:reference id="wa200001306" version="2.3.0.1" store="en-US" storeType="OMEX"/>
  <we:alternateReferences>
    <we:reference id="wa200001306" version="2.3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1380-F51C-4896-A612-CE23DCBDE747}">
  <sheetPr>
    <pageSetUpPr fitToPage="1"/>
  </sheetPr>
  <dimension ref="A1:J57"/>
  <sheetViews>
    <sheetView tabSelected="1" workbookViewId="0">
      <selection activeCell="D18" sqref="D18"/>
    </sheetView>
  </sheetViews>
  <sheetFormatPr defaultRowHeight="18.5"/>
  <cols>
    <col min="1" max="1" width="8.7265625" style="67"/>
    <col min="2" max="2" width="4.36328125" style="67" customWidth="1"/>
    <col min="3" max="3" width="42.7265625" style="67" bestFit="1" customWidth="1"/>
    <col min="4" max="4" width="17.1796875" style="67" customWidth="1"/>
    <col min="5" max="6" width="8.7265625" style="67"/>
    <col min="7" max="7" width="11.7265625" style="67" bestFit="1" customWidth="1"/>
    <col min="8" max="16384" width="8.7265625" style="67"/>
  </cols>
  <sheetData>
    <row r="1" spans="1:10">
      <c r="A1" s="66" t="s">
        <v>3</v>
      </c>
      <c r="B1" s="66"/>
      <c r="F1" s="68"/>
      <c r="G1" s="69" t="s">
        <v>57</v>
      </c>
      <c r="H1" s="70"/>
      <c r="I1" s="71"/>
      <c r="J1" s="71"/>
    </row>
    <row r="2" spans="1:10">
      <c r="A2" s="66" t="s">
        <v>4</v>
      </c>
      <c r="B2" s="66"/>
      <c r="G2" s="69" t="s">
        <v>58</v>
      </c>
      <c r="H2" s="70"/>
      <c r="I2" s="71"/>
      <c r="J2" s="71"/>
    </row>
    <row r="3" spans="1:10">
      <c r="A3" s="66" t="s">
        <v>2</v>
      </c>
      <c r="B3" s="66"/>
    </row>
    <row r="4" spans="1:10">
      <c r="A4" s="66"/>
      <c r="B4" s="66"/>
    </row>
    <row r="5" spans="1:10">
      <c r="A5" s="67" t="s">
        <v>1</v>
      </c>
      <c r="C5" s="72">
        <v>45967</v>
      </c>
    </row>
    <row r="6" spans="1:10">
      <c r="A6" s="67" t="s">
        <v>151</v>
      </c>
      <c r="C6" s="72">
        <v>45967</v>
      </c>
    </row>
    <row r="8" spans="1:10">
      <c r="A8" s="67" t="s">
        <v>5</v>
      </c>
    </row>
    <row r="10" spans="1:10">
      <c r="A10" s="67" t="s">
        <v>6</v>
      </c>
      <c r="C10" s="73" t="s">
        <v>127</v>
      </c>
    </row>
    <row r="11" spans="1:10">
      <c r="C11" s="73" t="s">
        <v>128</v>
      </c>
      <c r="D11" s="74"/>
    </row>
    <row r="12" spans="1:10">
      <c r="C12" s="67" t="s">
        <v>10</v>
      </c>
      <c r="D12" s="74"/>
      <c r="E12" s="67" t="s">
        <v>27</v>
      </c>
      <c r="F12" s="74"/>
    </row>
    <row r="14" spans="1:10">
      <c r="A14" s="67" t="s">
        <v>30</v>
      </c>
      <c r="C14" s="67" t="s">
        <v>99</v>
      </c>
    </row>
    <row r="15" spans="1:10">
      <c r="C15" s="67" t="s">
        <v>9</v>
      </c>
      <c r="D15" s="74"/>
    </row>
    <row r="16" spans="1:10">
      <c r="C16" s="67" t="s">
        <v>12</v>
      </c>
      <c r="D16" s="67" t="s">
        <v>44</v>
      </c>
    </row>
    <row r="17" spans="1:5">
      <c r="C17" s="67" t="s">
        <v>11</v>
      </c>
      <c r="D17" s="75">
        <f>58*10-17.96</f>
        <v>562.04</v>
      </c>
      <c r="E17" s="76"/>
    </row>
    <row r="18" spans="1:5">
      <c r="C18" s="67" t="s">
        <v>144</v>
      </c>
      <c r="D18" s="67" t="s">
        <v>225</v>
      </c>
    </row>
    <row r="20" spans="1:5">
      <c r="A20" s="67" t="s">
        <v>14</v>
      </c>
      <c r="C20" s="67" t="s">
        <v>9</v>
      </c>
      <c r="D20" s="74"/>
    </row>
    <row r="21" spans="1:5">
      <c r="C21" s="67" t="s">
        <v>11</v>
      </c>
      <c r="D21" s="77">
        <v>184.62</v>
      </c>
    </row>
    <row r="22" spans="1:5">
      <c r="C22" s="67" t="s">
        <v>12</v>
      </c>
      <c r="D22" s="67" t="s">
        <v>15</v>
      </c>
    </row>
    <row r="23" spans="1:5">
      <c r="C23" s="67" t="s">
        <v>13</v>
      </c>
      <c r="D23" s="67" t="s">
        <v>227</v>
      </c>
      <c r="E23" s="67" t="s">
        <v>226</v>
      </c>
    </row>
    <row r="24" spans="1:5">
      <c r="C24" s="67" t="s">
        <v>144</v>
      </c>
      <c r="D24" s="67" t="s">
        <v>145</v>
      </c>
    </row>
    <row r="26" spans="1:5">
      <c r="A26" s="67" t="s">
        <v>74</v>
      </c>
      <c r="C26" s="67" t="s">
        <v>9</v>
      </c>
      <c r="D26" s="74"/>
    </row>
    <row r="27" spans="1:5">
      <c r="C27" s="67" t="s">
        <v>11</v>
      </c>
      <c r="D27" s="78">
        <v>5392.92</v>
      </c>
    </row>
    <row r="28" spans="1:5">
      <c r="C28" s="67" t="s">
        <v>12</v>
      </c>
      <c r="D28" s="67" t="s">
        <v>15</v>
      </c>
    </row>
    <row r="29" spans="1:5">
      <c r="C29" s="67" t="s">
        <v>13</v>
      </c>
      <c r="D29" s="67" t="s">
        <v>228</v>
      </c>
      <c r="E29" s="67" t="s">
        <v>226</v>
      </c>
    </row>
    <row r="30" spans="1:5">
      <c r="C30" s="67" t="s">
        <v>144</v>
      </c>
      <c r="D30" s="67" t="s">
        <v>216</v>
      </c>
    </row>
    <row r="33" spans="1:4">
      <c r="A33" s="67" t="s">
        <v>21</v>
      </c>
      <c r="C33" s="67" t="s">
        <v>9</v>
      </c>
      <c r="D33" s="74"/>
    </row>
    <row r="34" spans="1:4">
      <c r="C34" s="67" t="s">
        <v>11</v>
      </c>
      <c r="D34" s="80">
        <v>168</v>
      </c>
    </row>
    <row r="35" spans="1:4">
      <c r="C35" s="67" t="s">
        <v>12</v>
      </c>
      <c r="D35" s="67" t="s">
        <v>204</v>
      </c>
    </row>
    <row r="36" spans="1:4">
      <c r="C36" s="67" t="s">
        <v>13</v>
      </c>
      <c r="D36" s="67" t="s">
        <v>205</v>
      </c>
    </row>
    <row r="37" spans="1:4">
      <c r="D37" s="67" t="s">
        <v>226</v>
      </c>
    </row>
    <row r="38" spans="1:4">
      <c r="D38" s="67" t="s">
        <v>210</v>
      </c>
    </row>
    <row r="41" spans="1:4">
      <c r="A41" s="67" t="s">
        <v>188</v>
      </c>
      <c r="C41" s="67" t="s">
        <v>22</v>
      </c>
    </row>
    <row r="42" spans="1:4">
      <c r="B42" s="67">
        <v>1</v>
      </c>
      <c r="C42" s="67" t="s">
        <v>23</v>
      </c>
    </row>
    <row r="43" spans="1:4">
      <c r="B43" s="67">
        <v>2</v>
      </c>
      <c r="C43" s="67" t="s">
        <v>24</v>
      </c>
    </row>
    <row r="44" spans="1:4">
      <c r="B44" s="67">
        <v>3</v>
      </c>
      <c r="C44" s="67" t="s">
        <v>25</v>
      </c>
    </row>
    <row r="45" spans="1:4">
      <c r="B45" s="67">
        <v>4</v>
      </c>
      <c r="C45" s="67" t="s">
        <v>26</v>
      </c>
    </row>
    <row r="46" spans="1:4">
      <c r="B46" s="67">
        <v>5</v>
      </c>
      <c r="C46" s="67" t="s">
        <v>161</v>
      </c>
    </row>
    <row r="48" spans="1:4">
      <c r="A48" s="67" t="s">
        <v>20</v>
      </c>
    </row>
    <row r="49" spans="1:4">
      <c r="A49" s="67" t="s">
        <v>6</v>
      </c>
      <c r="C49" s="67" t="s">
        <v>29</v>
      </c>
    </row>
    <row r="50" spans="1:4">
      <c r="A50" s="67" t="s">
        <v>30</v>
      </c>
      <c r="C50" s="67" t="s">
        <v>229</v>
      </c>
    </row>
    <row r="51" spans="1:4">
      <c r="C51" s="79">
        <v>4479.49</v>
      </c>
      <c r="D51" s="67" t="s">
        <v>218</v>
      </c>
    </row>
    <row r="52" spans="1:4">
      <c r="A52" s="67" t="s">
        <v>14</v>
      </c>
      <c r="C52" s="67" t="s">
        <v>230</v>
      </c>
    </row>
    <row r="53" spans="1:4">
      <c r="C53" s="79">
        <v>7644.49</v>
      </c>
      <c r="D53" s="67" t="s">
        <v>33</v>
      </c>
    </row>
    <row r="54" spans="1:4">
      <c r="A54" s="67" t="s">
        <v>18</v>
      </c>
      <c r="C54" s="67" t="s">
        <v>171</v>
      </c>
    </row>
    <row r="55" spans="1:4">
      <c r="C55" s="80" t="s">
        <v>209</v>
      </c>
    </row>
    <row r="57" spans="1:4">
      <c r="D57" s="80"/>
    </row>
  </sheetData>
  <pageMargins left="0.7" right="0.7" top="0.75" bottom="0.75" header="0.3" footer="0.3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F0C0-0FDC-4B1A-B6FC-077F2487132A}">
  <sheetPr>
    <pageSetUpPr fitToPage="1"/>
  </sheetPr>
  <dimension ref="A1:J57"/>
  <sheetViews>
    <sheetView topLeftCell="B16" workbookViewId="0">
      <selection activeCell="H16" sqref="H16"/>
    </sheetView>
  </sheetViews>
  <sheetFormatPr defaultRowHeight="18.5"/>
  <cols>
    <col min="1" max="1" width="8.7265625" style="67"/>
    <col min="2" max="2" width="4.36328125" style="67" customWidth="1"/>
    <col min="3" max="3" width="42.7265625" style="67" bestFit="1" customWidth="1"/>
    <col min="4" max="4" width="17.1796875" style="67" customWidth="1"/>
    <col min="5" max="6" width="8.7265625" style="67"/>
    <col min="7" max="7" width="11.7265625" style="67" bestFit="1" customWidth="1"/>
    <col min="8" max="16384" width="8.7265625" style="67"/>
  </cols>
  <sheetData>
    <row r="1" spans="1:10">
      <c r="A1" s="66" t="s">
        <v>3</v>
      </c>
      <c r="B1" s="66"/>
      <c r="F1" s="68"/>
      <c r="G1" s="69" t="s">
        <v>57</v>
      </c>
      <c r="H1" s="70"/>
      <c r="I1" s="71"/>
      <c r="J1" s="71"/>
    </row>
    <row r="2" spans="1:10">
      <c r="A2" s="66" t="s">
        <v>4</v>
      </c>
      <c r="B2" s="66"/>
      <c r="G2" s="69" t="s">
        <v>58</v>
      </c>
      <c r="H2" s="70"/>
      <c r="I2" s="71"/>
      <c r="J2" s="71"/>
    </row>
    <row r="3" spans="1:10">
      <c r="A3" s="66" t="s">
        <v>2</v>
      </c>
      <c r="B3" s="66"/>
    </row>
    <row r="4" spans="1:10">
      <c r="A4" s="66"/>
      <c r="B4" s="66"/>
    </row>
    <row r="5" spans="1:10">
      <c r="A5" s="67" t="s">
        <v>1</v>
      </c>
      <c r="C5" s="72">
        <v>45952</v>
      </c>
    </row>
    <row r="6" spans="1:10">
      <c r="A6" s="67" t="s">
        <v>151</v>
      </c>
      <c r="C6" s="72">
        <v>45953</v>
      </c>
    </row>
    <row r="8" spans="1:10">
      <c r="A8" s="67" t="s">
        <v>5</v>
      </c>
    </row>
    <row r="10" spans="1:10">
      <c r="A10" s="67" t="s">
        <v>6</v>
      </c>
      <c r="C10" s="73" t="s">
        <v>127</v>
      </c>
    </row>
    <row r="11" spans="1:10">
      <c r="C11" s="73" t="s">
        <v>128</v>
      </c>
      <c r="D11" s="74"/>
    </row>
    <row r="12" spans="1:10">
      <c r="C12" s="67" t="s">
        <v>10</v>
      </c>
      <c r="D12" s="74"/>
      <c r="E12" s="67" t="s">
        <v>27</v>
      </c>
      <c r="F12" s="74"/>
    </row>
    <row r="14" spans="1:10">
      <c r="A14" s="67" t="s">
        <v>30</v>
      </c>
      <c r="C14" s="67" t="s">
        <v>99</v>
      </c>
    </row>
    <row r="15" spans="1:10">
      <c r="C15" s="67" t="s">
        <v>9</v>
      </c>
      <c r="D15" s="74"/>
    </row>
    <row r="16" spans="1:10">
      <c r="C16" s="67" t="s">
        <v>12</v>
      </c>
      <c r="D16" s="67" t="s">
        <v>44</v>
      </c>
    </row>
    <row r="17" spans="1:5">
      <c r="C17" s="67" t="s">
        <v>11</v>
      </c>
      <c r="D17" s="75">
        <f>45.15*10-36.05</f>
        <v>415.45</v>
      </c>
      <c r="E17" s="76"/>
    </row>
    <row r="18" spans="1:5">
      <c r="C18" s="67" t="s">
        <v>144</v>
      </c>
      <c r="D18" s="67" t="s">
        <v>224</v>
      </c>
    </row>
    <row r="20" spans="1:5">
      <c r="A20" s="67" t="s">
        <v>14</v>
      </c>
      <c r="C20" s="67" t="s">
        <v>9</v>
      </c>
      <c r="D20" s="74"/>
    </row>
    <row r="21" spans="1:5">
      <c r="C21" s="67" t="s">
        <v>11</v>
      </c>
      <c r="D21" s="77">
        <v>184.62</v>
      </c>
    </row>
    <row r="22" spans="1:5">
      <c r="C22" s="67" t="s">
        <v>12</v>
      </c>
      <c r="D22" s="67" t="s">
        <v>15</v>
      </c>
    </row>
    <row r="23" spans="1:5">
      <c r="C23" s="67" t="s">
        <v>13</v>
      </c>
      <c r="D23" s="67" t="s">
        <v>219</v>
      </c>
    </row>
    <row r="24" spans="1:5">
      <c r="C24" s="67" t="s">
        <v>144</v>
      </c>
      <c r="D24" s="67" t="s">
        <v>145</v>
      </c>
    </row>
    <row r="26" spans="1:5">
      <c r="A26" s="67" t="s">
        <v>74</v>
      </c>
      <c r="C26" s="67" t="s">
        <v>9</v>
      </c>
      <c r="D26" s="74"/>
    </row>
    <row r="27" spans="1:5">
      <c r="C27" s="67" t="s">
        <v>11</v>
      </c>
      <c r="D27" s="78">
        <v>6199.07</v>
      </c>
    </row>
    <row r="28" spans="1:5">
      <c r="C28" s="67" t="s">
        <v>12</v>
      </c>
      <c r="D28" s="67" t="s">
        <v>15</v>
      </c>
    </row>
    <row r="29" spans="1:5">
      <c r="C29" s="67" t="s">
        <v>13</v>
      </c>
      <c r="D29" s="67" t="s">
        <v>220</v>
      </c>
    </row>
    <row r="30" spans="1:5">
      <c r="C30" s="67" t="s">
        <v>144</v>
      </c>
      <c r="D30" s="67" t="s">
        <v>216</v>
      </c>
    </row>
    <row r="33" spans="1:4">
      <c r="A33" s="67" t="s">
        <v>21</v>
      </c>
      <c r="C33" s="67" t="s">
        <v>9</v>
      </c>
      <c r="D33" s="74"/>
    </row>
    <row r="34" spans="1:4">
      <c r="C34" s="67" t="s">
        <v>11</v>
      </c>
      <c r="D34" s="80">
        <v>168</v>
      </c>
    </row>
    <row r="35" spans="1:4">
      <c r="C35" s="67" t="s">
        <v>12</v>
      </c>
      <c r="D35" s="67" t="s">
        <v>204</v>
      </c>
    </row>
    <row r="36" spans="1:4">
      <c r="C36" s="67" t="s">
        <v>13</v>
      </c>
      <c r="D36" s="67" t="s">
        <v>205</v>
      </c>
    </row>
    <row r="37" spans="1:4">
      <c r="D37" s="67" t="s">
        <v>221</v>
      </c>
    </row>
    <row r="38" spans="1:4">
      <c r="D38" s="67" t="s">
        <v>210</v>
      </c>
    </row>
    <row r="41" spans="1:4">
      <c r="A41" s="67" t="s">
        <v>188</v>
      </c>
      <c r="C41" s="67" t="s">
        <v>22</v>
      </c>
    </row>
    <row r="42" spans="1:4">
      <c r="B42" s="67">
        <v>1</v>
      </c>
      <c r="C42" s="67" t="s">
        <v>23</v>
      </c>
    </row>
    <row r="43" spans="1:4">
      <c r="B43" s="67">
        <v>2</v>
      </c>
      <c r="C43" s="67" t="s">
        <v>24</v>
      </c>
    </row>
    <row r="44" spans="1:4">
      <c r="B44" s="67">
        <v>3</v>
      </c>
      <c r="C44" s="67" t="s">
        <v>25</v>
      </c>
    </row>
    <row r="45" spans="1:4">
      <c r="B45" s="67">
        <v>4</v>
      </c>
      <c r="C45" s="67" t="s">
        <v>26</v>
      </c>
    </row>
    <row r="46" spans="1:4">
      <c r="B46" s="67">
        <v>5</v>
      </c>
      <c r="C46" s="67" t="s">
        <v>161</v>
      </c>
    </row>
    <row r="48" spans="1:4">
      <c r="A48" s="67" t="s">
        <v>20</v>
      </c>
    </row>
    <row r="49" spans="1:4">
      <c r="A49" s="67" t="s">
        <v>6</v>
      </c>
      <c r="C49" s="67" t="s">
        <v>29</v>
      </c>
    </row>
    <row r="50" spans="1:4">
      <c r="A50" s="67" t="s">
        <v>30</v>
      </c>
      <c r="C50" s="67" t="s">
        <v>222</v>
      </c>
    </row>
    <row r="51" spans="1:4">
      <c r="C51" s="79">
        <v>4575.4799999999996</v>
      </c>
      <c r="D51" s="67" t="s">
        <v>218</v>
      </c>
    </row>
    <row r="52" spans="1:4">
      <c r="A52" s="67" t="s">
        <v>14</v>
      </c>
      <c r="C52" s="67" t="s">
        <v>223</v>
      </c>
    </row>
    <row r="53" spans="1:4">
      <c r="C53" s="79">
        <v>8159.52</v>
      </c>
      <c r="D53" s="67" t="s">
        <v>33</v>
      </c>
    </row>
    <row r="54" spans="1:4">
      <c r="A54" s="67" t="s">
        <v>18</v>
      </c>
      <c r="C54" s="67" t="s">
        <v>171</v>
      </c>
    </row>
    <row r="55" spans="1:4">
      <c r="C55" s="80" t="s">
        <v>209</v>
      </c>
    </row>
    <row r="57" spans="1:4">
      <c r="D57" s="80"/>
    </row>
  </sheetData>
  <pageMargins left="0.7" right="0.7" top="0.75" bottom="0.75" header="0.3" footer="0.3"/>
  <pageSetup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EC25-C72F-45F9-A305-67520700131D}">
  <sheetPr>
    <pageSetUpPr fitToPage="1"/>
  </sheetPr>
  <dimension ref="A1:J57"/>
  <sheetViews>
    <sheetView topLeftCell="A4" workbookViewId="0">
      <selection activeCell="C11" sqref="C11"/>
    </sheetView>
  </sheetViews>
  <sheetFormatPr defaultRowHeight="18.5"/>
  <cols>
    <col min="1" max="1" width="8.7265625" style="67"/>
    <col min="2" max="2" width="4.36328125" style="67" customWidth="1"/>
    <col min="3" max="3" width="42.7265625" style="67" bestFit="1" customWidth="1"/>
    <col min="4" max="4" width="17.1796875" style="67" customWidth="1"/>
    <col min="5" max="6" width="8.7265625" style="67"/>
    <col min="7" max="7" width="11.7265625" style="67" bestFit="1" customWidth="1"/>
    <col min="8" max="16384" width="8.7265625" style="67"/>
  </cols>
  <sheetData>
    <row r="1" spans="1:10">
      <c r="A1" s="66" t="s">
        <v>3</v>
      </c>
      <c r="B1" s="66"/>
      <c r="F1" s="68"/>
      <c r="G1" s="69" t="s">
        <v>57</v>
      </c>
      <c r="H1" s="70"/>
      <c r="I1" s="71"/>
      <c r="J1" s="71"/>
    </row>
    <row r="2" spans="1:10">
      <c r="A2" s="66" t="s">
        <v>4</v>
      </c>
      <c r="B2" s="66"/>
      <c r="G2" s="69" t="s">
        <v>58</v>
      </c>
      <c r="H2" s="70"/>
      <c r="I2" s="71"/>
      <c r="J2" s="71"/>
    </row>
    <row r="3" spans="1:10">
      <c r="A3" s="66" t="s">
        <v>2</v>
      </c>
      <c r="B3" s="66"/>
    </row>
    <row r="4" spans="1:10">
      <c r="A4" s="66"/>
      <c r="B4" s="66"/>
    </row>
    <row r="5" spans="1:10">
      <c r="A5" s="67" t="s">
        <v>1</v>
      </c>
      <c r="C5" s="72">
        <v>45938</v>
      </c>
    </row>
    <row r="6" spans="1:10">
      <c r="A6" s="67" t="s">
        <v>151</v>
      </c>
      <c r="C6" s="72">
        <v>45939</v>
      </c>
    </row>
    <row r="8" spans="1:10">
      <c r="A8" s="67" t="s">
        <v>5</v>
      </c>
    </row>
    <row r="10" spans="1:10">
      <c r="A10" s="67" t="s">
        <v>6</v>
      </c>
      <c r="C10" s="73" t="s">
        <v>127</v>
      </c>
    </row>
    <row r="11" spans="1:10">
      <c r="C11" s="73" t="s">
        <v>128</v>
      </c>
      <c r="D11" s="74"/>
    </row>
    <row r="12" spans="1:10">
      <c r="C12" s="67" t="s">
        <v>10</v>
      </c>
      <c r="D12" s="74"/>
      <c r="E12" s="67" t="s">
        <v>27</v>
      </c>
      <c r="F12" s="74"/>
    </row>
    <row r="14" spans="1:10">
      <c r="A14" s="67" t="s">
        <v>30</v>
      </c>
      <c r="C14" s="67" t="s">
        <v>99</v>
      </c>
    </row>
    <row r="15" spans="1:10">
      <c r="C15" s="67" t="s">
        <v>9</v>
      </c>
      <c r="D15" s="74"/>
    </row>
    <row r="16" spans="1:10">
      <c r="C16" s="67" t="s">
        <v>12</v>
      </c>
      <c r="D16" s="67" t="s">
        <v>44</v>
      </c>
    </row>
    <row r="17" spans="1:5">
      <c r="C17" s="67" t="s">
        <v>11</v>
      </c>
      <c r="D17" s="75">
        <f>40*10</f>
        <v>400</v>
      </c>
      <c r="E17" s="76"/>
    </row>
    <row r="18" spans="1:5">
      <c r="C18" s="67" t="s">
        <v>144</v>
      </c>
      <c r="D18" s="67" t="s">
        <v>212</v>
      </c>
    </row>
    <row r="20" spans="1:5">
      <c r="A20" s="67" t="s">
        <v>14</v>
      </c>
      <c r="C20" s="67" t="s">
        <v>9</v>
      </c>
      <c r="D20" s="74"/>
    </row>
    <row r="21" spans="1:5">
      <c r="C21" s="67" t="s">
        <v>11</v>
      </c>
      <c r="D21" s="77">
        <v>161.24</v>
      </c>
    </row>
    <row r="22" spans="1:5">
      <c r="C22" s="67" t="s">
        <v>12</v>
      </c>
      <c r="D22" s="67" t="s">
        <v>15</v>
      </c>
    </row>
    <row r="23" spans="1:5">
      <c r="C23" s="67" t="s">
        <v>13</v>
      </c>
      <c r="D23" s="67" t="s">
        <v>213</v>
      </c>
    </row>
    <row r="24" spans="1:5">
      <c r="C24" s="67" t="s">
        <v>144</v>
      </c>
      <c r="D24" s="67" t="s">
        <v>145</v>
      </c>
    </row>
    <row r="26" spans="1:5">
      <c r="A26" s="67" t="s">
        <v>74</v>
      </c>
      <c r="C26" s="67" t="s">
        <v>9</v>
      </c>
      <c r="D26" s="74"/>
    </row>
    <row r="27" spans="1:5">
      <c r="C27" s="67" t="s">
        <v>11</v>
      </c>
      <c r="D27" s="78">
        <v>6030.72</v>
      </c>
    </row>
    <row r="28" spans="1:5">
      <c r="C28" s="67" t="s">
        <v>12</v>
      </c>
      <c r="D28" s="67" t="s">
        <v>15</v>
      </c>
    </row>
    <row r="29" spans="1:5">
      <c r="C29" s="67" t="s">
        <v>13</v>
      </c>
      <c r="D29" s="67" t="s">
        <v>214</v>
      </c>
    </row>
    <row r="30" spans="1:5">
      <c r="C30" s="67" t="s">
        <v>144</v>
      </c>
      <c r="D30" s="67" t="s">
        <v>216</v>
      </c>
    </row>
    <row r="33" spans="1:4">
      <c r="A33" s="67" t="s">
        <v>21</v>
      </c>
      <c r="C33" s="67" t="s">
        <v>9</v>
      </c>
      <c r="D33" s="74"/>
    </row>
    <row r="34" spans="1:4">
      <c r="C34" s="67" t="s">
        <v>11</v>
      </c>
      <c r="D34" s="80">
        <v>168</v>
      </c>
    </row>
    <row r="35" spans="1:4">
      <c r="C35" s="67" t="s">
        <v>12</v>
      </c>
      <c r="D35" s="67" t="s">
        <v>204</v>
      </c>
    </row>
    <row r="36" spans="1:4">
      <c r="C36" s="67" t="s">
        <v>13</v>
      </c>
      <c r="D36" s="67" t="s">
        <v>205</v>
      </c>
    </row>
    <row r="37" spans="1:4">
      <c r="D37" s="67" t="s">
        <v>215</v>
      </c>
    </row>
    <row r="38" spans="1:4">
      <c r="D38" s="67" t="s">
        <v>210</v>
      </c>
    </row>
    <row r="41" spans="1:4">
      <c r="A41" s="67" t="s">
        <v>188</v>
      </c>
      <c r="C41" s="67" t="s">
        <v>22</v>
      </c>
    </row>
    <row r="42" spans="1:4">
      <c r="B42" s="67">
        <v>1</v>
      </c>
      <c r="C42" s="67" t="s">
        <v>23</v>
      </c>
    </row>
    <row r="43" spans="1:4">
      <c r="B43" s="67">
        <v>2</v>
      </c>
      <c r="C43" s="67" t="s">
        <v>24</v>
      </c>
    </row>
    <row r="44" spans="1:4">
      <c r="B44" s="67">
        <v>3</v>
      </c>
      <c r="C44" s="67" t="s">
        <v>25</v>
      </c>
    </row>
    <row r="45" spans="1:4">
      <c r="B45" s="67">
        <v>4</v>
      </c>
      <c r="C45" s="67" t="s">
        <v>26</v>
      </c>
    </row>
    <row r="46" spans="1:4">
      <c r="B46" s="67">
        <v>5</v>
      </c>
      <c r="C46" s="67" t="s">
        <v>161</v>
      </c>
    </row>
    <row r="48" spans="1:4">
      <c r="A48" s="67" t="s">
        <v>20</v>
      </c>
    </row>
    <row r="49" spans="1:4">
      <c r="A49" s="67" t="s">
        <v>6</v>
      </c>
      <c r="C49" s="67" t="s">
        <v>29</v>
      </c>
    </row>
    <row r="50" spans="1:4">
      <c r="A50" s="67" t="s">
        <v>30</v>
      </c>
      <c r="C50" s="67" t="s">
        <v>217</v>
      </c>
    </row>
    <row r="51" spans="1:4">
      <c r="C51" s="79">
        <v>4449.55</v>
      </c>
      <c r="D51" s="67" t="s">
        <v>218</v>
      </c>
    </row>
    <row r="52" spans="1:4">
      <c r="A52" s="67" t="s">
        <v>14</v>
      </c>
      <c r="C52" s="67" t="s">
        <v>208</v>
      </c>
    </row>
    <row r="53" spans="1:4">
      <c r="C53" s="79">
        <v>8070.51</v>
      </c>
      <c r="D53" s="67" t="s">
        <v>33</v>
      </c>
    </row>
    <row r="54" spans="1:4">
      <c r="A54" s="67" t="s">
        <v>18</v>
      </c>
      <c r="C54" s="67" t="s">
        <v>171</v>
      </c>
    </row>
    <row r="55" spans="1:4">
      <c r="C55" s="80" t="s">
        <v>209</v>
      </c>
    </row>
    <row r="57" spans="1:4">
      <c r="D57" s="80"/>
    </row>
  </sheetData>
  <pageMargins left="0.7" right="0.7" top="0.75" bottom="0.75" header="0.3" footer="0.3"/>
  <pageSetup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27E1-4AEA-414A-8042-FE25FDAC0245}">
  <sheetPr>
    <pageSetUpPr fitToPage="1"/>
  </sheetPr>
  <dimension ref="A1:J57"/>
  <sheetViews>
    <sheetView workbookViewId="0">
      <selection activeCell="C35" sqref="C35"/>
    </sheetView>
  </sheetViews>
  <sheetFormatPr defaultRowHeight="18.5"/>
  <cols>
    <col min="1" max="1" width="8.7265625" style="67"/>
    <col min="2" max="2" width="4.36328125" style="67" customWidth="1"/>
    <col min="3" max="3" width="42.7265625" style="67" bestFit="1" customWidth="1"/>
    <col min="4" max="4" width="17.1796875" style="67" customWidth="1"/>
    <col min="5" max="6" width="8.7265625" style="67"/>
    <col min="7" max="7" width="11.7265625" style="67" bestFit="1" customWidth="1"/>
    <col min="8" max="16384" width="8.7265625" style="67"/>
  </cols>
  <sheetData>
    <row r="1" spans="1:10">
      <c r="A1" s="66" t="s">
        <v>3</v>
      </c>
      <c r="B1" s="66"/>
      <c r="F1" s="68"/>
      <c r="G1" s="69" t="s">
        <v>57</v>
      </c>
      <c r="H1" s="70"/>
      <c r="I1" s="71"/>
      <c r="J1" s="71"/>
    </row>
    <row r="2" spans="1:10">
      <c r="A2" s="66" t="s">
        <v>4</v>
      </c>
      <c r="B2" s="66"/>
      <c r="G2" s="69" t="s">
        <v>58</v>
      </c>
      <c r="H2" s="70"/>
      <c r="I2" s="71"/>
      <c r="J2" s="71"/>
    </row>
    <row r="3" spans="1:10">
      <c r="A3" s="66" t="s">
        <v>2</v>
      </c>
      <c r="B3" s="66"/>
    </row>
    <row r="4" spans="1:10">
      <c r="A4" s="66"/>
      <c r="B4" s="66"/>
    </row>
    <row r="5" spans="1:10">
      <c r="A5" s="67" t="s">
        <v>1</v>
      </c>
      <c r="C5" s="72">
        <v>45924</v>
      </c>
    </row>
    <row r="6" spans="1:10">
      <c r="A6" s="67" t="s">
        <v>151</v>
      </c>
      <c r="C6" s="72">
        <v>45925</v>
      </c>
    </row>
    <row r="8" spans="1:10">
      <c r="A8" s="67" t="s">
        <v>5</v>
      </c>
    </row>
    <row r="10" spans="1:10">
      <c r="A10" s="67" t="s">
        <v>6</v>
      </c>
      <c r="C10" s="73" t="s">
        <v>127</v>
      </c>
    </row>
    <row r="11" spans="1:10">
      <c r="C11" s="73" t="s">
        <v>128</v>
      </c>
      <c r="D11" s="74"/>
    </row>
    <row r="12" spans="1:10">
      <c r="C12" s="67" t="s">
        <v>10</v>
      </c>
      <c r="D12" s="74"/>
      <c r="E12" s="67" t="s">
        <v>27</v>
      </c>
      <c r="F12" s="74"/>
    </row>
    <row r="14" spans="1:10">
      <c r="A14" s="67" t="s">
        <v>30</v>
      </c>
      <c r="C14" s="67" t="s">
        <v>99</v>
      </c>
    </row>
    <row r="15" spans="1:10">
      <c r="C15" s="67" t="s">
        <v>9</v>
      </c>
      <c r="D15" s="74"/>
    </row>
    <row r="16" spans="1:10">
      <c r="C16" s="67" t="s">
        <v>12</v>
      </c>
      <c r="D16" s="67" t="s">
        <v>44</v>
      </c>
    </row>
    <row r="17" spans="1:5">
      <c r="C17" s="67" t="s">
        <v>11</v>
      </c>
      <c r="D17" s="75">
        <f>52.5*10</f>
        <v>525</v>
      </c>
      <c r="E17" s="76"/>
    </row>
    <row r="18" spans="1:5">
      <c r="C18" s="67" t="s">
        <v>144</v>
      </c>
      <c r="D18" s="67" t="s">
        <v>202</v>
      </c>
    </row>
    <row r="20" spans="1:5">
      <c r="A20" s="67" t="s">
        <v>14</v>
      </c>
      <c r="C20" s="67" t="s">
        <v>9</v>
      </c>
      <c r="D20" s="74"/>
    </row>
    <row r="21" spans="1:5">
      <c r="C21" s="67" t="s">
        <v>11</v>
      </c>
      <c r="D21" s="77">
        <v>161.24</v>
      </c>
    </row>
    <row r="22" spans="1:5">
      <c r="C22" s="67" t="s">
        <v>12</v>
      </c>
      <c r="D22" s="67" t="s">
        <v>15</v>
      </c>
    </row>
    <row r="23" spans="1:5">
      <c r="C23" s="67" t="s">
        <v>13</v>
      </c>
      <c r="D23" s="67" t="s">
        <v>211</v>
      </c>
    </row>
    <row r="24" spans="1:5">
      <c r="C24" s="67" t="s">
        <v>144</v>
      </c>
      <c r="D24" s="67" t="s">
        <v>145</v>
      </c>
    </row>
    <row r="26" spans="1:5">
      <c r="A26" s="67" t="s">
        <v>74</v>
      </c>
      <c r="C26" s="67" t="s">
        <v>9</v>
      </c>
      <c r="D26" s="74"/>
    </row>
    <row r="27" spans="1:5">
      <c r="C27" s="67" t="s">
        <v>11</v>
      </c>
      <c r="D27" s="78">
        <v>6158.72</v>
      </c>
    </row>
    <row r="28" spans="1:5">
      <c r="C28" s="67" t="s">
        <v>12</v>
      </c>
      <c r="D28" s="67" t="s">
        <v>15</v>
      </c>
    </row>
    <row r="29" spans="1:5">
      <c r="C29" s="67" t="s">
        <v>13</v>
      </c>
      <c r="D29" s="67" t="s">
        <v>203</v>
      </c>
    </row>
    <row r="30" spans="1:5">
      <c r="C30" s="67" t="s">
        <v>144</v>
      </c>
      <c r="D30" s="67" t="s">
        <v>178</v>
      </c>
    </row>
    <row r="33" spans="1:4">
      <c r="A33" s="67" t="s">
        <v>21</v>
      </c>
      <c r="C33" s="67" t="s">
        <v>9</v>
      </c>
      <c r="D33" s="74"/>
    </row>
    <row r="34" spans="1:4">
      <c r="C34" s="67" t="s">
        <v>11</v>
      </c>
      <c r="D34" s="80">
        <v>840</v>
      </c>
    </row>
    <row r="35" spans="1:4">
      <c r="C35" s="67" t="s">
        <v>12</v>
      </c>
      <c r="D35" s="67" t="s">
        <v>204</v>
      </c>
    </row>
    <row r="36" spans="1:4">
      <c r="C36" s="67" t="s">
        <v>13</v>
      </c>
      <c r="D36" s="67" t="s">
        <v>205</v>
      </c>
    </row>
    <row r="37" spans="1:4">
      <c r="D37" s="67" t="s">
        <v>206</v>
      </c>
    </row>
    <row r="38" spans="1:4">
      <c r="D38" s="67" t="s">
        <v>210</v>
      </c>
    </row>
    <row r="41" spans="1:4">
      <c r="A41" s="67" t="s">
        <v>188</v>
      </c>
      <c r="C41" s="67" t="s">
        <v>22</v>
      </c>
    </row>
    <row r="42" spans="1:4">
      <c r="B42" s="67">
        <v>1</v>
      </c>
      <c r="C42" s="67" t="s">
        <v>23</v>
      </c>
    </row>
    <row r="43" spans="1:4">
      <c r="B43" s="67">
        <v>2</v>
      </c>
      <c r="C43" s="67" t="s">
        <v>24</v>
      </c>
    </row>
    <row r="44" spans="1:4">
      <c r="B44" s="67">
        <v>3</v>
      </c>
      <c r="C44" s="67" t="s">
        <v>25</v>
      </c>
    </row>
    <row r="45" spans="1:4">
      <c r="B45" s="67">
        <v>4</v>
      </c>
      <c r="C45" s="67" t="s">
        <v>26</v>
      </c>
    </row>
    <row r="46" spans="1:4">
      <c r="B46" s="67">
        <v>5</v>
      </c>
      <c r="C46" s="67" t="s">
        <v>161</v>
      </c>
    </row>
    <row r="48" spans="1:4">
      <c r="A48" s="67" t="s">
        <v>20</v>
      </c>
    </row>
    <row r="49" spans="1:4">
      <c r="A49" s="67" t="s">
        <v>6</v>
      </c>
      <c r="C49" s="67" t="s">
        <v>29</v>
      </c>
    </row>
    <row r="50" spans="1:4">
      <c r="A50" s="67" t="s">
        <v>30</v>
      </c>
      <c r="C50" s="67" t="s">
        <v>207</v>
      </c>
    </row>
    <row r="51" spans="1:4">
      <c r="C51" s="79">
        <v>4446.49</v>
      </c>
      <c r="D51" s="67" t="s">
        <v>31</v>
      </c>
    </row>
    <row r="52" spans="1:4">
      <c r="A52" s="67" t="s">
        <v>14</v>
      </c>
      <c r="C52" s="67" t="s">
        <v>208</v>
      </c>
    </row>
    <row r="53" spans="1:4">
      <c r="C53" s="79">
        <v>8236.1200000000008</v>
      </c>
      <c r="D53" s="67" t="s">
        <v>33</v>
      </c>
    </row>
    <row r="54" spans="1:4">
      <c r="A54" s="67" t="s">
        <v>18</v>
      </c>
      <c r="C54" s="67" t="s">
        <v>171</v>
      </c>
    </row>
    <row r="55" spans="1:4">
      <c r="C55" s="80" t="s">
        <v>209</v>
      </c>
    </row>
    <row r="57" spans="1:4">
      <c r="D57" s="80"/>
    </row>
  </sheetData>
  <pageMargins left="0.7" right="0.7" top="0.75" bottom="0.75" header="0.3" footer="0.3"/>
  <pageSetup scale="5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561B-CD89-45A2-B3AB-4332499E7375}">
  <sheetPr>
    <pageSetUpPr fitToPage="1"/>
  </sheetPr>
  <dimension ref="A1:J61"/>
  <sheetViews>
    <sheetView topLeftCell="B30" workbookViewId="0">
      <selection activeCell="D38" sqref="D38"/>
    </sheetView>
  </sheetViews>
  <sheetFormatPr defaultRowHeight="18.5"/>
  <cols>
    <col min="1" max="1" width="8.7265625" style="67"/>
    <col min="2" max="2" width="4.36328125" style="67" customWidth="1"/>
    <col min="3" max="3" width="42.7265625" style="67" bestFit="1" customWidth="1"/>
    <col min="4" max="4" width="17.1796875" style="67" customWidth="1"/>
    <col min="5" max="6" width="8.7265625" style="67"/>
    <col min="7" max="7" width="11.7265625" style="67" bestFit="1" customWidth="1"/>
    <col min="8" max="16384" width="8.7265625" style="67"/>
  </cols>
  <sheetData>
    <row r="1" spans="1:10">
      <c r="A1" s="66" t="s">
        <v>3</v>
      </c>
      <c r="B1" s="66"/>
      <c r="F1" s="68"/>
      <c r="G1" s="69" t="s">
        <v>57</v>
      </c>
      <c r="H1" s="70"/>
      <c r="I1" s="71"/>
      <c r="J1" s="71"/>
    </row>
    <row r="2" spans="1:10">
      <c r="A2" s="66" t="s">
        <v>4</v>
      </c>
      <c r="B2" s="66"/>
      <c r="G2" s="69" t="s">
        <v>58</v>
      </c>
      <c r="H2" s="70"/>
      <c r="I2" s="71"/>
      <c r="J2" s="71"/>
    </row>
    <row r="3" spans="1:10">
      <c r="A3" s="66" t="s">
        <v>2</v>
      </c>
      <c r="B3" s="66"/>
    </row>
    <row r="4" spans="1:10">
      <c r="A4" s="66"/>
      <c r="B4" s="66"/>
    </row>
    <row r="5" spans="1:10">
      <c r="A5" s="67" t="s">
        <v>1</v>
      </c>
      <c r="C5" s="72">
        <v>45882</v>
      </c>
    </row>
    <row r="6" spans="1:10">
      <c r="A6" s="67" t="s">
        <v>151</v>
      </c>
      <c r="C6" s="72">
        <v>45883</v>
      </c>
    </row>
    <row r="8" spans="1:10">
      <c r="A8" s="67" t="s">
        <v>5</v>
      </c>
    </row>
    <row r="10" spans="1:10">
      <c r="A10" s="67" t="s">
        <v>6</v>
      </c>
      <c r="C10" s="73" t="s">
        <v>127</v>
      </c>
    </row>
    <row r="11" spans="1:10">
      <c r="C11" s="73" t="s">
        <v>128</v>
      </c>
      <c r="D11" s="74">
        <v>48</v>
      </c>
    </row>
    <row r="12" spans="1:10">
      <c r="C12" s="67" t="s">
        <v>10</v>
      </c>
      <c r="D12" s="74"/>
      <c r="E12" s="67" t="s">
        <v>27</v>
      </c>
      <c r="F12" s="74"/>
    </row>
    <row r="14" spans="1:10">
      <c r="A14" s="67" t="s">
        <v>30</v>
      </c>
      <c r="C14" s="67" t="s">
        <v>99</v>
      </c>
    </row>
    <row r="15" spans="1:10">
      <c r="C15" s="67" t="s">
        <v>9</v>
      </c>
      <c r="D15" s="74"/>
    </row>
    <row r="16" spans="1:10">
      <c r="C16" s="67" t="s">
        <v>12</v>
      </c>
      <c r="D16" s="67" t="s">
        <v>44</v>
      </c>
    </row>
    <row r="17" spans="1:5">
      <c r="C17" s="67" t="s">
        <v>11</v>
      </c>
      <c r="D17" s="75">
        <f>52.3*10</f>
        <v>523</v>
      </c>
      <c r="E17" s="76"/>
    </row>
    <row r="18" spans="1:5">
      <c r="C18" s="67" t="s">
        <v>144</v>
      </c>
      <c r="D18" s="67" t="s">
        <v>199</v>
      </c>
    </row>
    <row r="20" spans="1:5">
      <c r="A20" s="67" t="s">
        <v>14</v>
      </c>
      <c r="C20" s="67" t="s">
        <v>9</v>
      </c>
      <c r="D20" s="74"/>
    </row>
    <row r="21" spans="1:5">
      <c r="C21" s="67" t="s">
        <v>11</v>
      </c>
      <c r="D21" s="77">
        <v>50</v>
      </c>
    </row>
    <row r="22" spans="1:5">
      <c r="C22" s="67" t="s">
        <v>12</v>
      </c>
      <c r="D22" s="67" t="s">
        <v>15</v>
      </c>
    </row>
    <row r="23" spans="1:5">
      <c r="C23" s="67" t="s">
        <v>13</v>
      </c>
      <c r="D23" s="67" t="s">
        <v>196</v>
      </c>
    </row>
    <row r="24" spans="1:5">
      <c r="C24" s="67" t="s">
        <v>144</v>
      </c>
      <c r="D24" s="67" t="s">
        <v>143</v>
      </c>
    </row>
    <row r="26" spans="1:5">
      <c r="A26" s="67" t="s">
        <v>74</v>
      </c>
      <c r="C26" s="67" t="s">
        <v>9</v>
      </c>
      <c r="D26" s="74"/>
    </row>
    <row r="27" spans="1:5">
      <c r="C27" s="67" t="s">
        <v>11</v>
      </c>
      <c r="D27" s="77">
        <v>161.24</v>
      </c>
    </row>
    <row r="28" spans="1:5">
      <c r="C28" s="67" t="s">
        <v>12</v>
      </c>
      <c r="D28" s="67" t="s">
        <v>15</v>
      </c>
    </row>
    <row r="29" spans="1:5">
      <c r="C29" s="67" t="s">
        <v>13</v>
      </c>
      <c r="D29" s="67" t="s">
        <v>196</v>
      </c>
    </row>
    <row r="30" spans="1:5">
      <c r="C30" s="67" t="s">
        <v>144</v>
      </c>
      <c r="D30" s="67" t="s">
        <v>145</v>
      </c>
    </row>
    <row r="33" spans="1:4">
      <c r="A33" s="67" t="s">
        <v>21</v>
      </c>
      <c r="C33" s="67" t="s">
        <v>9</v>
      </c>
      <c r="D33" s="74"/>
    </row>
    <row r="34" spans="1:4">
      <c r="C34" s="67" t="s">
        <v>11</v>
      </c>
      <c r="D34" s="78">
        <v>6882.03</v>
      </c>
    </row>
    <row r="35" spans="1:4">
      <c r="C35" s="67" t="s">
        <v>12</v>
      </c>
      <c r="D35" s="67" t="s">
        <v>15</v>
      </c>
    </row>
    <row r="36" spans="1:4">
      <c r="C36" s="67" t="s">
        <v>13</v>
      </c>
      <c r="D36" s="67" t="s">
        <v>197</v>
      </c>
    </row>
    <row r="37" spans="1:4">
      <c r="D37" s="67" t="s">
        <v>178</v>
      </c>
    </row>
    <row r="39" spans="1:4">
      <c r="A39" s="67" t="s">
        <v>78</v>
      </c>
      <c r="C39" s="67" t="s">
        <v>9</v>
      </c>
      <c r="D39" s="74"/>
    </row>
    <row r="40" spans="1:4">
      <c r="C40" s="67" t="s">
        <v>11</v>
      </c>
      <c r="D40" s="78">
        <v>17094.759999999998</v>
      </c>
    </row>
    <row r="41" spans="1:4">
      <c r="C41" s="67" t="s">
        <v>12</v>
      </c>
      <c r="D41" s="67" t="s">
        <v>15</v>
      </c>
    </row>
    <row r="42" spans="1:4">
      <c r="C42" s="67" t="s">
        <v>13</v>
      </c>
      <c r="D42" s="67" t="s">
        <v>198</v>
      </c>
    </row>
    <row r="45" spans="1:4">
      <c r="A45" s="67" t="s">
        <v>188</v>
      </c>
      <c r="C45" s="67" t="s">
        <v>22</v>
      </c>
    </row>
    <row r="46" spans="1:4">
      <c r="B46" s="67">
        <v>1</v>
      </c>
      <c r="C46" s="67" t="s">
        <v>23</v>
      </c>
    </row>
    <row r="47" spans="1:4">
      <c r="B47" s="67">
        <v>2</v>
      </c>
      <c r="C47" s="67" t="s">
        <v>24</v>
      </c>
    </row>
    <row r="48" spans="1:4">
      <c r="B48" s="67">
        <v>3</v>
      </c>
      <c r="C48" s="67" t="s">
        <v>25</v>
      </c>
    </row>
    <row r="49" spans="1:4">
      <c r="B49" s="67">
        <v>4</v>
      </c>
      <c r="C49" s="67" t="s">
        <v>26</v>
      </c>
    </row>
    <row r="50" spans="1:4">
      <c r="B50" s="67">
        <v>5</v>
      </c>
      <c r="C50" s="67" t="s">
        <v>161</v>
      </c>
    </row>
    <row r="52" spans="1:4">
      <c r="A52" s="67" t="s">
        <v>20</v>
      </c>
    </row>
    <row r="53" spans="1:4">
      <c r="A53" s="67" t="s">
        <v>6</v>
      </c>
      <c r="C53" s="67" t="s">
        <v>29</v>
      </c>
    </row>
    <row r="54" spans="1:4">
      <c r="A54" s="67" t="s">
        <v>30</v>
      </c>
      <c r="C54" s="67" t="s">
        <v>200</v>
      </c>
    </row>
    <row r="55" spans="1:4">
      <c r="C55" s="79">
        <v>4553.74</v>
      </c>
      <c r="D55" s="67" t="s">
        <v>31</v>
      </c>
    </row>
    <row r="56" spans="1:4">
      <c r="A56" s="67" t="s">
        <v>14</v>
      </c>
      <c r="C56" s="67" t="s">
        <v>201</v>
      </c>
    </row>
    <row r="57" spans="1:4">
      <c r="C57" s="79">
        <v>10935.480000000001</v>
      </c>
      <c r="D57" s="67" t="s">
        <v>33</v>
      </c>
    </row>
    <row r="58" spans="1:4">
      <c r="A58" s="67" t="s">
        <v>18</v>
      </c>
      <c r="C58" s="67" t="s">
        <v>171</v>
      </c>
    </row>
    <row r="59" spans="1:4">
      <c r="C59" s="80" t="s">
        <v>103</v>
      </c>
    </row>
    <row r="61" spans="1:4">
      <c r="D61" s="80"/>
    </row>
  </sheetData>
  <pageMargins left="0.7" right="0.7" top="0.75" bottom="0.75" header="0.3" footer="0.3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D92E-4E1B-458D-8A80-002075908461}">
  <sheetPr>
    <pageSetUpPr fitToPage="1"/>
  </sheetPr>
  <dimension ref="A1:J61"/>
  <sheetViews>
    <sheetView topLeftCell="A46" workbookViewId="0">
      <selection activeCell="C57" sqref="C57"/>
    </sheetView>
  </sheetViews>
  <sheetFormatPr defaultRowHeight="18.5"/>
  <cols>
    <col min="1" max="1" width="8.7265625" style="48"/>
    <col min="2" max="2" width="4.36328125" style="48" customWidth="1"/>
    <col min="3" max="3" width="42.7265625" style="48" bestFit="1" customWidth="1"/>
    <col min="4" max="4" width="17.1796875" style="48" customWidth="1"/>
    <col min="5" max="6" width="8.7265625" style="48"/>
    <col min="7" max="7" width="11.7265625" style="48" bestFit="1" customWidth="1"/>
    <col min="8" max="16384" width="8.7265625" style="48"/>
  </cols>
  <sheetData>
    <row r="1" spans="1:10">
      <c r="A1" s="47" t="s">
        <v>3</v>
      </c>
      <c r="B1" s="47"/>
      <c r="F1" s="49"/>
      <c r="G1" s="50" t="s">
        <v>57</v>
      </c>
      <c r="H1" s="51"/>
      <c r="I1" s="52"/>
      <c r="J1" s="52"/>
    </row>
    <row r="2" spans="1:10">
      <c r="A2" s="47" t="s">
        <v>4</v>
      </c>
      <c r="B2" s="47"/>
      <c r="G2" s="50" t="s">
        <v>58</v>
      </c>
      <c r="H2" s="51"/>
      <c r="I2" s="52"/>
      <c r="J2" s="52"/>
    </row>
    <row r="3" spans="1:10">
      <c r="A3" s="47" t="s">
        <v>2</v>
      </c>
      <c r="B3" s="47"/>
    </row>
    <row r="4" spans="1:10">
      <c r="A4" s="47"/>
      <c r="B4" s="47"/>
    </row>
    <row r="5" spans="1:10">
      <c r="A5" s="48" t="s">
        <v>1</v>
      </c>
      <c r="C5" s="53">
        <v>45867</v>
      </c>
    </row>
    <row r="6" spans="1:10">
      <c r="A6" s="48" t="s">
        <v>151</v>
      </c>
      <c r="C6" s="53">
        <v>45869</v>
      </c>
    </row>
    <row r="8" spans="1:10">
      <c r="A8" s="48" t="s">
        <v>5</v>
      </c>
    </row>
    <row r="10" spans="1:10">
      <c r="A10" s="48" t="s">
        <v>6</v>
      </c>
      <c r="C10" s="54" t="s">
        <v>127</v>
      </c>
    </row>
    <row r="11" spans="1:10">
      <c r="C11" s="54" t="s">
        <v>128</v>
      </c>
      <c r="D11" s="55">
        <v>49</v>
      </c>
    </row>
    <row r="12" spans="1:10">
      <c r="C12" s="48" t="s">
        <v>10</v>
      </c>
      <c r="D12" s="55"/>
      <c r="E12" s="48" t="s">
        <v>27</v>
      </c>
      <c r="F12" s="55"/>
    </row>
    <row r="14" spans="1:10">
      <c r="A14" s="48" t="s">
        <v>30</v>
      </c>
      <c r="C14" s="48" t="s">
        <v>99</v>
      </c>
    </row>
    <row r="15" spans="1:10">
      <c r="C15" s="48" t="s">
        <v>9</v>
      </c>
      <c r="D15" s="55"/>
    </row>
    <row r="16" spans="1:10">
      <c r="C16" s="48" t="s">
        <v>12</v>
      </c>
      <c r="D16" s="48" t="s">
        <v>44</v>
      </c>
    </row>
    <row r="17" spans="1:5">
      <c r="C17" s="48" t="s">
        <v>11</v>
      </c>
      <c r="D17" s="56">
        <f>43.15*10</f>
        <v>431.5</v>
      </c>
      <c r="E17" s="57"/>
    </row>
    <row r="18" spans="1:5">
      <c r="C18" s="48" t="s">
        <v>144</v>
      </c>
      <c r="D18" s="48" t="s">
        <v>190</v>
      </c>
    </row>
    <row r="20" spans="1:5">
      <c r="A20" s="48" t="s">
        <v>14</v>
      </c>
      <c r="C20" s="48" t="s">
        <v>9</v>
      </c>
      <c r="D20" s="55"/>
    </row>
    <row r="21" spans="1:5">
      <c r="C21" s="48" t="s">
        <v>11</v>
      </c>
      <c r="D21" s="58">
        <v>50</v>
      </c>
    </row>
    <row r="22" spans="1:5">
      <c r="C22" s="48" t="s">
        <v>12</v>
      </c>
      <c r="D22" s="48" t="s">
        <v>15</v>
      </c>
    </row>
    <row r="23" spans="1:5">
      <c r="C23" s="48" t="s">
        <v>13</v>
      </c>
      <c r="D23" s="48" t="s">
        <v>191</v>
      </c>
    </row>
    <row r="24" spans="1:5">
      <c r="C24" s="48" t="s">
        <v>144</v>
      </c>
      <c r="D24" s="48" t="s">
        <v>143</v>
      </c>
    </row>
    <row r="26" spans="1:5">
      <c r="A26" s="48" t="s">
        <v>74</v>
      </c>
      <c r="C26" s="48" t="s">
        <v>9</v>
      </c>
      <c r="D26" s="55"/>
    </row>
    <row r="27" spans="1:5">
      <c r="C27" s="48" t="s">
        <v>11</v>
      </c>
      <c r="D27" s="58">
        <v>161.24</v>
      </c>
    </row>
    <row r="28" spans="1:5">
      <c r="C28" s="48" t="s">
        <v>12</v>
      </c>
      <c r="D28" s="48" t="s">
        <v>15</v>
      </c>
    </row>
    <row r="29" spans="1:5">
      <c r="C29" s="48" t="s">
        <v>13</v>
      </c>
      <c r="D29" s="48" t="s">
        <v>191</v>
      </c>
    </row>
    <row r="30" spans="1:5">
      <c r="C30" s="48" t="s">
        <v>144</v>
      </c>
      <c r="D30" s="48" t="s">
        <v>145</v>
      </c>
    </row>
    <row r="33" spans="1:4">
      <c r="A33" s="48" t="s">
        <v>21</v>
      </c>
      <c r="C33" s="48" t="s">
        <v>9</v>
      </c>
      <c r="D33" s="55"/>
    </row>
    <row r="34" spans="1:4">
      <c r="C34" s="48" t="s">
        <v>11</v>
      </c>
      <c r="D34" s="59">
        <v>5982.85</v>
      </c>
    </row>
    <row r="35" spans="1:4">
      <c r="C35" s="48" t="s">
        <v>12</v>
      </c>
      <c r="D35" s="48" t="s">
        <v>15</v>
      </c>
    </row>
    <row r="36" spans="1:4">
      <c r="C36" s="48" t="s">
        <v>13</v>
      </c>
      <c r="D36" s="48" t="s">
        <v>192</v>
      </c>
    </row>
    <row r="37" spans="1:4">
      <c r="D37" s="48" t="s">
        <v>178</v>
      </c>
    </row>
    <row r="39" spans="1:4">
      <c r="A39" s="48" t="s">
        <v>78</v>
      </c>
      <c r="C39" s="48" t="s">
        <v>9</v>
      </c>
      <c r="D39" s="55"/>
    </row>
    <row r="40" spans="1:4">
      <c r="C40" s="48" t="s">
        <v>11</v>
      </c>
      <c r="D40" s="59">
        <v>100</v>
      </c>
    </row>
    <row r="41" spans="1:4">
      <c r="C41" s="48" t="s">
        <v>12</v>
      </c>
      <c r="D41" s="48" t="s">
        <v>15</v>
      </c>
    </row>
    <row r="42" spans="1:4">
      <c r="C42" s="48" t="s">
        <v>13</v>
      </c>
      <c r="D42" s="48" t="s">
        <v>193</v>
      </c>
    </row>
    <row r="45" spans="1:4">
      <c r="A45" s="48" t="s">
        <v>188</v>
      </c>
      <c r="C45" s="48" t="s">
        <v>22</v>
      </c>
    </row>
    <row r="46" spans="1:4">
      <c r="B46" s="48">
        <v>1</v>
      </c>
      <c r="C46" s="48" t="s">
        <v>23</v>
      </c>
    </row>
    <row r="47" spans="1:4">
      <c r="B47" s="48">
        <v>2</v>
      </c>
      <c r="C47" s="48" t="s">
        <v>24</v>
      </c>
    </row>
    <row r="48" spans="1:4">
      <c r="B48" s="48">
        <v>3</v>
      </c>
      <c r="C48" s="48" t="s">
        <v>25</v>
      </c>
    </row>
    <row r="49" spans="1:4">
      <c r="B49" s="48">
        <v>4</v>
      </c>
      <c r="C49" s="48" t="s">
        <v>26</v>
      </c>
    </row>
    <row r="50" spans="1:4">
      <c r="B50" s="48">
        <v>5</v>
      </c>
      <c r="C50" s="48" t="s">
        <v>161</v>
      </c>
    </row>
    <row r="52" spans="1:4">
      <c r="A52" s="48" t="s">
        <v>20</v>
      </c>
    </row>
    <row r="53" spans="1:4">
      <c r="A53" s="48" t="s">
        <v>6</v>
      </c>
      <c r="C53" s="48" t="s">
        <v>29</v>
      </c>
    </row>
    <row r="54" spans="1:4">
      <c r="A54" s="48" t="s">
        <v>30</v>
      </c>
      <c r="C54" s="48" t="s">
        <v>194</v>
      </c>
    </row>
    <row r="55" spans="1:4">
      <c r="C55" s="60">
        <v>4588.9799999999996</v>
      </c>
      <c r="D55" s="48" t="s">
        <v>31</v>
      </c>
    </row>
    <row r="56" spans="1:4">
      <c r="A56" s="48" t="s">
        <v>14</v>
      </c>
      <c r="C56" s="48" t="s">
        <v>195</v>
      </c>
    </row>
    <row r="57" spans="1:4">
      <c r="C57" s="60">
        <v>10213.619999999999</v>
      </c>
      <c r="D57" s="48" t="s">
        <v>33</v>
      </c>
    </row>
    <row r="58" spans="1:4">
      <c r="A58" s="48" t="s">
        <v>18</v>
      </c>
      <c r="C58" s="61" t="s">
        <v>171</v>
      </c>
    </row>
    <row r="59" spans="1:4">
      <c r="C59" s="62" t="s">
        <v>103</v>
      </c>
    </row>
    <row r="61" spans="1:4">
      <c r="D61" s="63"/>
    </row>
  </sheetData>
  <pageMargins left="0.7" right="0.7" top="0.75" bottom="0.75" header="0.3" footer="0.3"/>
  <pageSetup scale="5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2D4C-867A-4506-B44E-1348E8937467}">
  <sheetPr>
    <pageSetUpPr fitToPage="1"/>
  </sheetPr>
  <dimension ref="A1:J68"/>
  <sheetViews>
    <sheetView topLeftCell="A60" workbookViewId="0">
      <selection activeCell="A101" sqref="A101"/>
    </sheetView>
  </sheetViews>
  <sheetFormatPr defaultRowHeight="18.5"/>
  <cols>
    <col min="1" max="1" width="8.7265625" style="48"/>
    <col min="2" max="2" width="4.36328125" style="48" customWidth="1"/>
    <col min="3" max="3" width="42.7265625" style="48" bestFit="1" customWidth="1"/>
    <col min="4" max="4" width="17.1796875" style="48" customWidth="1"/>
    <col min="5" max="6" width="8.7265625" style="48"/>
    <col min="7" max="7" width="11.7265625" style="48" bestFit="1" customWidth="1"/>
    <col min="8" max="16384" width="8.7265625" style="48"/>
  </cols>
  <sheetData>
    <row r="1" spans="1:10">
      <c r="A1" s="47" t="s">
        <v>3</v>
      </c>
      <c r="B1" s="47"/>
      <c r="F1" s="49"/>
      <c r="G1" s="50" t="s">
        <v>57</v>
      </c>
      <c r="H1" s="51"/>
      <c r="I1" s="52"/>
      <c r="J1" s="52"/>
    </row>
    <row r="2" spans="1:10">
      <c r="A2" s="47" t="s">
        <v>4</v>
      </c>
      <c r="B2" s="47"/>
      <c r="G2" s="50" t="s">
        <v>58</v>
      </c>
      <c r="H2" s="51"/>
      <c r="I2" s="52"/>
      <c r="J2" s="52"/>
    </row>
    <row r="3" spans="1:10">
      <c r="A3" s="47" t="s">
        <v>2</v>
      </c>
      <c r="B3" s="47"/>
    </row>
    <row r="4" spans="1:10">
      <c r="A4" s="47"/>
      <c r="B4" s="47"/>
    </row>
    <row r="5" spans="1:10">
      <c r="A5" s="48" t="s">
        <v>1</v>
      </c>
      <c r="C5" s="53">
        <v>45854</v>
      </c>
    </row>
    <row r="6" spans="1:10">
      <c r="A6" s="48" t="s">
        <v>151</v>
      </c>
      <c r="C6" s="53">
        <v>45855</v>
      </c>
    </row>
    <row r="8" spans="1:10">
      <c r="A8" s="48" t="s">
        <v>5</v>
      </c>
    </row>
    <row r="10" spans="1:10">
      <c r="A10" s="48" t="s">
        <v>6</v>
      </c>
      <c r="C10" s="54" t="s">
        <v>127</v>
      </c>
    </row>
    <row r="11" spans="1:10">
      <c r="C11" s="54" t="s">
        <v>128</v>
      </c>
      <c r="D11" s="55"/>
    </row>
    <row r="12" spans="1:10">
      <c r="C12" s="48" t="s">
        <v>10</v>
      </c>
      <c r="D12" s="55"/>
      <c r="E12" s="48" t="s">
        <v>27</v>
      </c>
      <c r="F12" s="55"/>
    </row>
    <row r="14" spans="1:10">
      <c r="A14" s="48" t="s">
        <v>30</v>
      </c>
      <c r="C14" s="48" t="s">
        <v>99</v>
      </c>
    </row>
    <row r="15" spans="1:10">
      <c r="C15" s="48" t="s">
        <v>9</v>
      </c>
      <c r="D15" s="55"/>
    </row>
    <row r="16" spans="1:10">
      <c r="C16" s="48" t="s">
        <v>12</v>
      </c>
      <c r="D16" s="48" t="s">
        <v>44</v>
      </c>
    </row>
    <row r="17" spans="1:5">
      <c r="C17" s="48" t="s">
        <v>11</v>
      </c>
      <c r="D17" s="56">
        <f>58.45*10-21.19</f>
        <v>563.30999999999995</v>
      </c>
      <c r="E17" s="57"/>
    </row>
    <row r="18" spans="1:5">
      <c r="C18" s="48" t="s">
        <v>144</v>
      </c>
      <c r="D18" s="48" t="s">
        <v>187</v>
      </c>
    </row>
    <row r="20" spans="1:5">
      <c r="A20" s="48" t="s">
        <v>14</v>
      </c>
      <c r="C20" s="48" t="s">
        <v>9</v>
      </c>
      <c r="D20" s="55"/>
    </row>
    <row r="21" spans="1:5">
      <c r="C21" s="48" t="s">
        <v>11</v>
      </c>
      <c r="D21" s="58">
        <v>50</v>
      </c>
    </row>
    <row r="22" spans="1:5">
      <c r="C22" s="48" t="s">
        <v>12</v>
      </c>
      <c r="D22" s="48" t="s">
        <v>15</v>
      </c>
    </row>
    <row r="23" spans="1:5">
      <c r="C23" s="48" t="s">
        <v>13</v>
      </c>
      <c r="D23" s="48" t="s">
        <v>179</v>
      </c>
    </row>
    <row r="24" spans="1:5">
      <c r="C24" s="48" t="s">
        <v>144</v>
      </c>
      <c r="D24" s="48" t="s">
        <v>143</v>
      </c>
    </row>
    <row r="26" spans="1:5">
      <c r="A26" s="48" t="s">
        <v>74</v>
      </c>
      <c r="B26" s="48" t="s">
        <v>183</v>
      </c>
      <c r="C26" s="48" t="s">
        <v>9</v>
      </c>
      <c r="D26" s="55"/>
    </row>
    <row r="27" spans="1:5">
      <c r="C27" s="48" t="s">
        <v>11</v>
      </c>
      <c r="D27" s="58">
        <v>161.24</v>
      </c>
    </row>
    <row r="28" spans="1:5">
      <c r="C28" s="48" t="s">
        <v>12</v>
      </c>
      <c r="D28" s="48" t="s">
        <v>15</v>
      </c>
    </row>
    <row r="29" spans="1:5">
      <c r="C29" s="48" t="s">
        <v>13</v>
      </c>
      <c r="D29" s="48" t="s">
        <v>179</v>
      </c>
    </row>
    <row r="30" spans="1:5">
      <c r="C30" s="48" t="s">
        <v>144</v>
      </c>
      <c r="D30" s="48" t="s">
        <v>145</v>
      </c>
    </row>
    <row r="32" spans="1:5">
      <c r="B32" s="48" t="s">
        <v>184</v>
      </c>
      <c r="C32" s="48" t="s">
        <v>9</v>
      </c>
      <c r="D32" s="55"/>
    </row>
    <row r="33" spans="1:4">
      <c r="C33" s="48" t="s">
        <v>11</v>
      </c>
      <c r="D33" s="58">
        <f>161.24-50</f>
        <v>111.24000000000001</v>
      </c>
    </row>
    <row r="34" spans="1:4">
      <c r="C34" s="48" t="s">
        <v>12</v>
      </c>
      <c r="D34" s="48" t="s">
        <v>15</v>
      </c>
    </row>
    <row r="35" spans="1:4">
      <c r="C35" s="48" t="s">
        <v>13</v>
      </c>
      <c r="D35" s="48" t="s">
        <v>185</v>
      </c>
    </row>
    <row r="36" spans="1:4">
      <c r="C36" s="48" t="s">
        <v>144</v>
      </c>
      <c r="D36" s="48" t="s">
        <v>145</v>
      </c>
    </row>
    <row r="37" spans="1:4">
      <c r="D37" s="48" t="s">
        <v>186</v>
      </c>
    </row>
    <row r="40" spans="1:4">
      <c r="A40" s="48" t="s">
        <v>21</v>
      </c>
      <c r="C40" s="48" t="s">
        <v>9</v>
      </c>
      <c r="D40" s="55"/>
    </row>
    <row r="41" spans="1:4">
      <c r="C41" s="48" t="s">
        <v>11</v>
      </c>
      <c r="D41" s="59">
        <v>6120.19</v>
      </c>
    </row>
    <row r="42" spans="1:4">
      <c r="C42" s="48" t="s">
        <v>12</v>
      </c>
      <c r="D42" s="48" t="s">
        <v>15</v>
      </c>
    </row>
    <row r="43" spans="1:4">
      <c r="C43" s="48" t="s">
        <v>13</v>
      </c>
      <c r="D43" s="48" t="s">
        <v>180</v>
      </c>
    </row>
    <row r="44" spans="1:4">
      <c r="D44" s="48" t="s">
        <v>178</v>
      </c>
    </row>
    <row r="46" spans="1:4">
      <c r="A46" s="48" t="s">
        <v>78</v>
      </c>
      <c r="C46" s="48" t="s">
        <v>9</v>
      </c>
      <c r="D46" s="55"/>
    </row>
    <row r="47" spans="1:4">
      <c r="C47" s="48" t="s">
        <v>11</v>
      </c>
      <c r="D47" s="59">
        <v>14965.27</v>
      </c>
    </row>
    <row r="48" spans="1:4">
      <c r="C48" s="48" t="s">
        <v>12</v>
      </c>
      <c r="D48" s="48" t="s">
        <v>15</v>
      </c>
    </row>
    <row r="49" spans="1:4">
      <c r="C49" s="48" t="s">
        <v>13</v>
      </c>
      <c r="D49" s="48" t="s">
        <v>189</v>
      </c>
    </row>
    <row r="52" spans="1:4">
      <c r="A52" s="48" t="s">
        <v>188</v>
      </c>
      <c r="C52" s="48" t="s">
        <v>22</v>
      </c>
    </row>
    <row r="53" spans="1:4">
      <c r="B53" s="48">
        <v>1</v>
      </c>
      <c r="C53" s="48" t="s">
        <v>23</v>
      </c>
    </row>
    <row r="54" spans="1:4">
      <c r="B54" s="48">
        <v>2</v>
      </c>
      <c r="C54" s="48" t="s">
        <v>24</v>
      </c>
    </row>
    <row r="55" spans="1:4">
      <c r="B55" s="48">
        <v>3</v>
      </c>
      <c r="C55" s="48" t="s">
        <v>25</v>
      </c>
    </row>
    <row r="56" spans="1:4">
      <c r="B56" s="48">
        <v>4</v>
      </c>
      <c r="C56" s="48" t="s">
        <v>26</v>
      </c>
    </row>
    <row r="57" spans="1:4">
      <c r="B57" s="48">
        <v>5</v>
      </c>
      <c r="C57" s="48" t="s">
        <v>161</v>
      </c>
    </row>
    <row r="59" spans="1:4">
      <c r="A59" s="48" t="s">
        <v>20</v>
      </c>
    </row>
    <row r="60" spans="1:4">
      <c r="A60" s="48" t="s">
        <v>6</v>
      </c>
      <c r="C60" s="48" t="s">
        <v>29</v>
      </c>
    </row>
    <row r="61" spans="1:4">
      <c r="A61" s="48" t="s">
        <v>30</v>
      </c>
      <c r="C61" s="48" t="s">
        <v>181</v>
      </c>
    </row>
    <row r="62" spans="1:4">
      <c r="C62" s="64">
        <v>4786.1499999999996</v>
      </c>
      <c r="D62" s="48" t="s">
        <v>31</v>
      </c>
    </row>
    <row r="63" spans="1:4">
      <c r="A63" s="48" t="s">
        <v>14</v>
      </c>
      <c r="C63" s="48" t="s">
        <v>182</v>
      </c>
    </row>
    <row r="64" spans="1:4">
      <c r="C64" s="64">
        <v>10541.56</v>
      </c>
      <c r="D64" s="48" t="s">
        <v>33</v>
      </c>
    </row>
    <row r="65" spans="1:4">
      <c r="A65" s="48" t="s">
        <v>18</v>
      </c>
      <c r="C65" s="65" t="s">
        <v>171</v>
      </c>
    </row>
    <row r="66" spans="1:4">
      <c r="C66" s="62" t="s">
        <v>103</v>
      </c>
    </row>
    <row r="68" spans="1:4">
      <c r="D68" s="63"/>
    </row>
  </sheetData>
  <pageMargins left="0.7" right="0.7" top="0.75" bottom="0.75" header="0.3" footer="0.3"/>
  <pageSetup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6367-7919-4882-8EA3-440A8112D901}">
  <sheetPr>
    <pageSetUpPr fitToPage="1"/>
  </sheetPr>
  <dimension ref="A1:J55"/>
  <sheetViews>
    <sheetView topLeftCell="B43" workbookViewId="0">
      <selection activeCell="C51" sqref="C51"/>
    </sheetView>
  </sheetViews>
  <sheetFormatPr defaultRowHeight="18.5"/>
  <cols>
    <col min="1" max="1" width="8.7265625" style="48"/>
    <col min="2" max="2" width="4.36328125" style="48" customWidth="1"/>
    <col min="3" max="3" width="42.7265625" style="48" bestFit="1" customWidth="1"/>
    <col min="4" max="4" width="17.1796875" style="48" customWidth="1"/>
    <col min="5" max="6" width="8.7265625" style="48"/>
    <col min="7" max="7" width="11.7265625" style="48" bestFit="1" customWidth="1"/>
    <col min="8" max="16384" width="8.7265625" style="48"/>
  </cols>
  <sheetData>
    <row r="1" spans="1:10">
      <c r="A1" s="47" t="s">
        <v>3</v>
      </c>
      <c r="B1" s="47"/>
      <c r="F1" s="49"/>
      <c r="G1" s="50" t="s">
        <v>57</v>
      </c>
      <c r="H1" s="51"/>
      <c r="I1" s="52"/>
      <c r="J1" s="52"/>
    </row>
    <row r="2" spans="1:10">
      <c r="A2" s="47" t="s">
        <v>4</v>
      </c>
      <c r="B2" s="47"/>
      <c r="G2" s="50" t="s">
        <v>58</v>
      </c>
      <c r="H2" s="51"/>
      <c r="I2" s="52"/>
      <c r="J2" s="52"/>
    </row>
    <row r="3" spans="1:10">
      <c r="A3" s="47" t="s">
        <v>2</v>
      </c>
      <c r="B3" s="47"/>
    </row>
    <row r="4" spans="1:10">
      <c r="A4" s="47"/>
      <c r="B4" s="47"/>
    </row>
    <row r="5" spans="1:10">
      <c r="A5" s="48" t="s">
        <v>1</v>
      </c>
      <c r="C5" s="53">
        <v>45840</v>
      </c>
    </row>
    <row r="6" spans="1:10">
      <c r="A6" s="48" t="s">
        <v>151</v>
      </c>
      <c r="C6" s="53">
        <v>45841</v>
      </c>
    </row>
    <row r="8" spans="1:10">
      <c r="A8" s="48" t="s">
        <v>5</v>
      </c>
    </row>
    <row r="10" spans="1:10">
      <c r="A10" s="48" t="s">
        <v>6</v>
      </c>
      <c r="C10" s="54" t="s">
        <v>127</v>
      </c>
    </row>
    <row r="11" spans="1:10">
      <c r="C11" s="54" t="s">
        <v>128</v>
      </c>
      <c r="D11" s="55">
        <v>50</v>
      </c>
    </row>
    <row r="12" spans="1:10">
      <c r="C12" s="48" t="s">
        <v>10</v>
      </c>
      <c r="D12" s="55"/>
      <c r="E12" s="48" t="s">
        <v>27</v>
      </c>
      <c r="F12" s="55"/>
    </row>
    <row r="14" spans="1:10">
      <c r="A14" s="48" t="s">
        <v>30</v>
      </c>
      <c r="C14" s="48" t="s">
        <v>99</v>
      </c>
    </row>
    <row r="15" spans="1:10">
      <c r="C15" s="48" t="s">
        <v>9</v>
      </c>
      <c r="D15" s="55"/>
    </row>
    <row r="16" spans="1:10">
      <c r="C16" s="48" t="s">
        <v>12</v>
      </c>
      <c r="D16" s="48" t="s">
        <v>44</v>
      </c>
    </row>
    <row r="17" spans="1:5">
      <c r="C17" s="48" t="s">
        <v>11</v>
      </c>
      <c r="D17" s="56">
        <f>47.65*10</f>
        <v>476.5</v>
      </c>
      <c r="E17" s="57"/>
    </row>
    <row r="18" spans="1:5">
      <c r="C18" s="48" t="s">
        <v>144</v>
      </c>
      <c r="D18" s="48" t="s">
        <v>173</v>
      </c>
    </row>
    <row r="20" spans="1:5">
      <c r="A20" s="48" t="s">
        <v>14</v>
      </c>
      <c r="C20" s="48" t="s">
        <v>9</v>
      </c>
      <c r="D20" s="55"/>
    </row>
    <row r="21" spans="1:5">
      <c r="C21" s="48" t="s">
        <v>11</v>
      </c>
      <c r="D21" s="58">
        <v>50</v>
      </c>
    </row>
    <row r="22" spans="1:5">
      <c r="C22" s="48" t="s">
        <v>12</v>
      </c>
      <c r="D22" s="48" t="s">
        <v>15</v>
      </c>
    </row>
    <row r="23" spans="1:5">
      <c r="C23" s="48" t="s">
        <v>13</v>
      </c>
      <c r="D23" s="48" t="s">
        <v>174</v>
      </c>
    </row>
    <row r="24" spans="1:5">
      <c r="C24" s="48" t="s">
        <v>144</v>
      </c>
      <c r="D24" s="48" t="s">
        <v>143</v>
      </c>
    </row>
    <row r="26" spans="1:5">
      <c r="A26" s="48" t="s">
        <v>74</v>
      </c>
      <c r="C26" s="48" t="s">
        <v>9</v>
      </c>
      <c r="D26" s="55"/>
    </row>
    <row r="27" spans="1:5">
      <c r="C27" s="48" t="s">
        <v>11</v>
      </c>
      <c r="D27" s="58">
        <v>161.24</v>
      </c>
    </row>
    <row r="28" spans="1:5">
      <c r="C28" s="48" t="s">
        <v>12</v>
      </c>
      <c r="D28" s="48" t="s">
        <v>15</v>
      </c>
    </row>
    <row r="29" spans="1:5">
      <c r="C29" s="48" t="s">
        <v>13</v>
      </c>
      <c r="D29" s="48" t="s">
        <v>174</v>
      </c>
    </row>
    <row r="30" spans="1:5">
      <c r="C30" s="48" t="s">
        <v>144</v>
      </c>
      <c r="D30" s="48" t="s">
        <v>145</v>
      </c>
    </row>
    <row r="33" spans="1:4">
      <c r="A33" s="48" t="s">
        <v>21</v>
      </c>
      <c r="C33" s="48" t="s">
        <v>9</v>
      </c>
      <c r="D33" s="55"/>
    </row>
    <row r="34" spans="1:4">
      <c r="C34" s="48" t="s">
        <v>11</v>
      </c>
      <c r="D34" s="59">
        <v>6822.46</v>
      </c>
    </row>
    <row r="35" spans="1:4">
      <c r="C35" s="48" t="s">
        <v>12</v>
      </c>
      <c r="D35" s="48" t="s">
        <v>15</v>
      </c>
    </row>
    <row r="36" spans="1:4">
      <c r="C36" s="48" t="s">
        <v>13</v>
      </c>
      <c r="D36" s="48" t="s">
        <v>175</v>
      </c>
    </row>
    <row r="37" spans="1:4">
      <c r="D37" s="48" t="s">
        <v>178</v>
      </c>
    </row>
    <row r="39" spans="1:4">
      <c r="A39" s="48" t="s">
        <v>78</v>
      </c>
      <c r="C39" s="48" t="s">
        <v>22</v>
      </c>
    </row>
    <row r="40" spans="1:4">
      <c r="B40" s="48">
        <v>1</v>
      </c>
      <c r="C40" s="48" t="s">
        <v>23</v>
      </c>
    </row>
    <row r="41" spans="1:4">
      <c r="B41" s="48">
        <v>2</v>
      </c>
      <c r="C41" s="48" t="s">
        <v>24</v>
      </c>
    </row>
    <row r="42" spans="1:4">
      <c r="B42" s="48">
        <v>3</v>
      </c>
      <c r="C42" s="48" t="s">
        <v>25</v>
      </c>
    </row>
    <row r="43" spans="1:4">
      <c r="B43" s="48">
        <v>4</v>
      </c>
      <c r="C43" s="48" t="s">
        <v>26</v>
      </c>
    </row>
    <row r="44" spans="1:4">
      <c r="B44" s="48">
        <v>5</v>
      </c>
      <c r="C44" s="48" t="s">
        <v>161</v>
      </c>
    </row>
    <row r="46" spans="1:4">
      <c r="A46" s="48" t="s">
        <v>20</v>
      </c>
    </row>
    <row r="47" spans="1:4">
      <c r="A47" s="48" t="s">
        <v>6</v>
      </c>
      <c r="C47" s="48" t="s">
        <v>29</v>
      </c>
    </row>
    <row r="48" spans="1:4">
      <c r="A48" s="48" t="s">
        <v>30</v>
      </c>
      <c r="C48" s="48" t="s">
        <v>176</v>
      </c>
    </row>
    <row r="49" spans="1:4">
      <c r="C49" s="60">
        <v>4776.68</v>
      </c>
      <c r="D49" s="48" t="s">
        <v>31</v>
      </c>
    </row>
    <row r="50" spans="1:4">
      <c r="A50" s="48" t="s">
        <v>14</v>
      </c>
      <c r="C50" s="48" t="s">
        <v>177</v>
      </c>
    </row>
    <row r="51" spans="1:4">
      <c r="C51" s="60">
        <v>11022.679999999998</v>
      </c>
      <c r="D51" s="48" t="s">
        <v>33</v>
      </c>
    </row>
    <row r="52" spans="1:4">
      <c r="A52" s="48" t="s">
        <v>18</v>
      </c>
      <c r="C52" s="61" t="s">
        <v>171</v>
      </c>
    </row>
    <row r="53" spans="1:4">
      <c r="C53" s="62" t="s">
        <v>103</v>
      </c>
    </row>
    <row r="55" spans="1:4">
      <c r="D55" s="63"/>
    </row>
  </sheetData>
  <pageMargins left="0.7" right="0.7" top="0.75" bottom="0.75" header="0.3" footer="0.3"/>
  <pageSetup scale="6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E1B0-B92F-4C55-959D-04F00E4B9DDE}">
  <sheetPr>
    <pageSetUpPr fitToPage="1"/>
  </sheetPr>
  <dimension ref="A1:J55"/>
  <sheetViews>
    <sheetView topLeftCell="A13" workbookViewId="0">
      <selection activeCell="C69" sqref="C69"/>
    </sheetView>
  </sheetViews>
  <sheetFormatPr defaultRowHeight="14.5"/>
  <cols>
    <col min="1" max="1" width="8.7265625" style="32"/>
    <col min="2" max="2" width="4.36328125" style="32" customWidth="1"/>
    <col min="3" max="3" width="42.7265625" style="32" bestFit="1" customWidth="1"/>
    <col min="4" max="4" width="12.26953125" style="32" customWidth="1"/>
    <col min="5" max="6" width="8.7265625" style="32"/>
    <col min="7" max="7" width="11.7265625" style="32" bestFit="1" customWidth="1"/>
    <col min="8" max="16384" width="8.7265625" style="32"/>
  </cols>
  <sheetData>
    <row r="1" spans="1:10">
      <c r="A1" s="31" t="s">
        <v>3</v>
      </c>
      <c r="B1" s="31"/>
      <c r="F1" s="33"/>
      <c r="G1" s="34" t="s">
        <v>57</v>
      </c>
      <c r="H1" s="35"/>
      <c r="I1" s="36"/>
      <c r="J1" s="36"/>
    </row>
    <row r="2" spans="1:10">
      <c r="A2" s="31" t="s">
        <v>4</v>
      </c>
      <c r="B2" s="31"/>
      <c r="G2" s="34" t="s">
        <v>58</v>
      </c>
      <c r="H2" s="35"/>
      <c r="I2" s="36"/>
      <c r="J2" s="36"/>
    </row>
    <row r="3" spans="1:10">
      <c r="A3" s="31" t="s">
        <v>2</v>
      </c>
      <c r="B3" s="31"/>
    </row>
    <row r="4" spans="1:10">
      <c r="A4" s="31"/>
      <c r="B4" s="31"/>
    </row>
    <row r="5" spans="1:10">
      <c r="A5" s="32" t="s">
        <v>1</v>
      </c>
      <c r="C5" s="37">
        <v>45825</v>
      </c>
    </row>
    <row r="6" spans="1:10">
      <c r="A6" s="32" t="s">
        <v>151</v>
      </c>
      <c r="C6" s="37">
        <v>45827</v>
      </c>
    </row>
    <row r="8" spans="1:10">
      <c r="A8" s="32" t="s">
        <v>5</v>
      </c>
    </row>
    <row r="10" spans="1:10">
      <c r="A10" s="32" t="s">
        <v>6</v>
      </c>
      <c r="C10" s="38" t="s">
        <v>127</v>
      </c>
    </row>
    <row r="11" spans="1:10">
      <c r="C11" s="38" t="s">
        <v>128</v>
      </c>
      <c r="D11" s="39">
        <v>50</v>
      </c>
    </row>
    <row r="12" spans="1:10">
      <c r="C12" s="32" t="s">
        <v>10</v>
      </c>
      <c r="D12" s="39"/>
      <c r="E12" s="32" t="s">
        <v>27</v>
      </c>
      <c r="F12" s="39"/>
    </row>
    <row r="14" spans="1:10">
      <c r="A14" s="32" t="s">
        <v>30</v>
      </c>
      <c r="C14" s="32" t="s">
        <v>99</v>
      </c>
    </row>
    <row r="15" spans="1:10">
      <c r="C15" s="32" t="s">
        <v>9</v>
      </c>
      <c r="D15" s="39"/>
    </row>
    <row r="16" spans="1:10">
      <c r="C16" s="32" t="s">
        <v>12</v>
      </c>
      <c r="D16" s="32" t="s">
        <v>44</v>
      </c>
    </row>
    <row r="17" spans="1:5">
      <c r="C17" s="32" t="s">
        <v>11</v>
      </c>
      <c r="D17" s="45">
        <f>44.5*10-13.46</f>
        <v>431.54</v>
      </c>
      <c r="E17" s="46"/>
    </row>
    <row r="18" spans="1:5">
      <c r="C18" s="32" t="s">
        <v>144</v>
      </c>
      <c r="D18" s="32" t="s">
        <v>167</v>
      </c>
    </row>
    <row r="20" spans="1:5">
      <c r="A20" s="32" t="s">
        <v>14</v>
      </c>
      <c r="C20" s="32" t="s">
        <v>9</v>
      </c>
      <c r="D20" s="39"/>
    </row>
    <row r="21" spans="1:5">
      <c r="C21" s="32" t="s">
        <v>11</v>
      </c>
      <c r="D21" s="44">
        <v>50</v>
      </c>
    </row>
    <row r="22" spans="1:5">
      <c r="C22" s="32" t="s">
        <v>12</v>
      </c>
      <c r="D22" s="32" t="s">
        <v>15</v>
      </c>
    </row>
    <row r="23" spans="1:5">
      <c r="C23" s="32" t="s">
        <v>13</v>
      </c>
      <c r="D23" s="32" t="s">
        <v>168</v>
      </c>
    </row>
    <row r="24" spans="1:5">
      <c r="C24" s="32" t="s">
        <v>144</v>
      </c>
      <c r="D24" s="32" t="s">
        <v>143</v>
      </c>
    </row>
    <row r="26" spans="1:5">
      <c r="A26" s="32" t="s">
        <v>74</v>
      </c>
      <c r="C26" s="32" t="s">
        <v>9</v>
      </c>
      <c r="D26" s="39"/>
    </row>
    <row r="27" spans="1:5">
      <c r="C27" s="32" t="s">
        <v>11</v>
      </c>
      <c r="D27" s="44">
        <v>161.24</v>
      </c>
    </row>
    <row r="28" spans="1:5">
      <c r="C28" s="32" t="s">
        <v>12</v>
      </c>
      <c r="D28" s="32" t="s">
        <v>15</v>
      </c>
    </row>
    <row r="29" spans="1:5">
      <c r="C29" s="32" t="s">
        <v>13</v>
      </c>
      <c r="D29" s="32" t="str">
        <f>D23</f>
        <v>Child Support for PPE 2025.6.15</v>
      </c>
    </row>
    <row r="30" spans="1:5">
      <c r="C30" s="32" t="s">
        <v>144</v>
      </c>
      <c r="D30" s="32" t="s">
        <v>145</v>
      </c>
    </row>
    <row r="33" spans="1:4">
      <c r="A33" s="32" t="s">
        <v>21</v>
      </c>
      <c r="C33" s="32" t="s">
        <v>9</v>
      </c>
      <c r="D33" s="39"/>
    </row>
    <row r="34" spans="1:4" ht="16">
      <c r="C34" s="32" t="s">
        <v>11</v>
      </c>
      <c r="D34" s="41">
        <v>6151</v>
      </c>
    </row>
    <row r="35" spans="1:4">
      <c r="C35" s="32" t="s">
        <v>12</v>
      </c>
      <c r="D35" s="32" t="s">
        <v>15</v>
      </c>
    </row>
    <row r="36" spans="1:4">
      <c r="C36" s="32" t="s">
        <v>13</v>
      </c>
      <c r="D36" s="32" t="s">
        <v>172</v>
      </c>
    </row>
    <row r="39" spans="1:4">
      <c r="A39" s="32" t="s">
        <v>78</v>
      </c>
      <c r="C39" s="32" t="s">
        <v>22</v>
      </c>
    </row>
    <row r="40" spans="1:4">
      <c r="B40" s="32">
        <v>1</v>
      </c>
      <c r="C40" s="32" t="s">
        <v>23</v>
      </c>
    </row>
    <row r="41" spans="1:4">
      <c r="B41" s="32">
        <v>2</v>
      </c>
      <c r="C41" s="32" t="s">
        <v>24</v>
      </c>
    </row>
    <row r="42" spans="1:4">
      <c r="B42" s="32">
        <v>3</v>
      </c>
      <c r="C42" s="32" t="s">
        <v>25</v>
      </c>
    </row>
    <row r="43" spans="1:4">
      <c r="B43" s="32">
        <v>4</v>
      </c>
      <c r="C43" s="32" t="s">
        <v>26</v>
      </c>
    </row>
    <row r="44" spans="1:4">
      <c r="B44" s="32">
        <v>5</v>
      </c>
      <c r="C44" s="32" t="s">
        <v>161</v>
      </c>
    </row>
    <row r="46" spans="1:4">
      <c r="A46" s="32" t="s">
        <v>20</v>
      </c>
    </row>
    <row r="47" spans="1:4">
      <c r="A47" s="32" t="s">
        <v>6</v>
      </c>
      <c r="C47" s="32" t="s">
        <v>29</v>
      </c>
    </row>
    <row r="48" spans="1:4">
      <c r="A48" s="32" t="s">
        <v>30</v>
      </c>
      <c r="C48" s="32" t="s">
        <v>169</v>
      </c>
    </row>
    <row r="49" spans="1:4">
      <c r="C49" s="42">
        <v>4713.6400000000003</v>
      </c>
      <c r="D49" s="32" t="s">
        <v>31</v>
      </c>
    </row>
    <row r="50" spans="1:4">
      <c r="A50" s="32" t="s">
        <v>14</v>
      </c>
      <c r="C50" s="32" t="s">
        <v>170</v>
      </c>
    </row>
    <row r="51" spans="1:4">
      <c r="C51" s="42">
        <v>10541.34</v>
      </c>
      <c r="D51" s="32" t="s">
        <v>33</v>
      </c>
    </row>
    <row r="52" spans="1:4">
      <c r="A52" s="32" t="s">
        <v>18</v>
      </c>
      <c r="C52" s="18" t="s">
        <v>171</v>
      </c>
    </row>
    <row r="53" spans="1:4">
      <c r="C53" s="28" t="s">
        <v>103</v>
      </c>
    </row>
    <row r="55" spans="1:4">
      <c r="D55" s="43"/>
    </row>
  </sheetData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DB5F-FD98-47B0-8CAE-6616A48478E7}">
  <sheetPr>
    <pageSetUpPr fitToPage="1"/>
  </sheetPr>
  <dimension ref="A1:J55"/>
  <sheetViews>
    <sheetView workbookViewId="0">
      <selection activeCell="D34" sqref="D34"/>
    </sheetView>
  </sheetViews>
  <sheetFormatPr defaultRowHeight="14.5"/>
  <cols>
    <col min="1" max="1" width="8.7265625" style="32"/>
    <col min="2" max="2" width="4.36328125" style="32" customWidth="1"/>
    <col min="3" max="3" width="42.7265625" style="32" bestFit="1" customWidth="1"/>
    <col min="4" max="4" width="12.26953125" style="32" customWidth="1"/>
    <col min="5" max="6" width="8.7265625" style="32"/>
    <col min="7" max="7" width="11.7265625" style="32" bestFit="1" customWidth="1"/>
    <col min="8" max="16384" width="8.7265625" style="32"/>
  </cols>
  <sheetData>
    <row r="1" spans="1:10">
      <c r="A1" s="31" t="s">
        <v>3</v>
      </c>
      <c r="B1" s="31"/>
      <c r="F1" s="33"/>
      <c r="G1" s="34" t="s">
        <v>57</v>
      </c>
      <c r="H1" s="35"/>
      <c r="I1" s="36"/>
      <c r="J1" s="36"/>
    </row>
    <row r="2" spans="1:10">
      <c r="A2" s="31" t="s">
        <v>4</v>
      </c>
      <c r="B2" s="31"/>
      <c r="G2" s="34" t="s">
        <v>58</v>
      </c>
      <c r="H2" s="35"/>
      <c r="I2" s="36"/>
      <c r="J2" s="36"/>
    </row>
    <row r="3" spans="1:10">
      <c r="A3" s="31" t="s">
        <v>2</v>
      </c>
      <c r="B3" s="31"/>
    </row>
    <row r="4" spans="1:10">
      <c r="A4" s="31"/>
      <c r="B4" s="31"/>
    </row>
    <row r="5" spans="1:10">
      <c r="A5" s="32" t="s">
        <v>1</v>
      </c>
      <c r="C5" s="37">
        <v>45812</v>
      </c>
    </row>
    <row r="6" spans="1:10">
      <c r="A6" s="32" t="s">
        <v>151</v>
      </c>
      <c r="C6" s="37">
        <v>45813</v>
      </c>
    </row>
    <row r="8" spans="1:10">
      <c r="A8" s="32" t="s">
        <v>5</v>
      </c>
    </row>
    <row r="10" spans="1:10">
      <c r="A10" s="32" t="s">
        <v>6</v>
      </c>
      <c r="C10" s="38" t="s">
        <v>127</v>
      </c>
    </row>
    <row r="11" spans="1:10">
      <c r="C11" s="38" t="s">
        <v>128</v>
      </c>
      <c r="D11" s="39">
        <v>46</v>
      </c>
    </row>
    <row r="12" spans="1:10">
      <c r="C12" s="32" t="s">
        <v>10</v>
      </c>
      <c r="D12" s="39"/>
      <c r="E12" s="32" t="s">
        <v>27</v>
      </c>
      <c r="F12" s="39"/>
    </row>
    <row r="14" spans="1:10">
      <c r="A14" s="32" t="s">
        <v>30</v>
      </c>
      <c r="C14" s="32" t="s">
        <v>99</v>
      </c>
    </row>
    <row r="15" spans="1:10">
      <c r="C15" s="32" t="s">
        <v>9</v>
      </c>
      <c r="D15" s="39"/>
    </row>
    <row r="16" spans="1:10">
      <c r="C16" s="32" t="s">
        <v>12</v>
      </c>
      <c r="D16" s="32" t="s">
        <v>44</v>
      </c>
    </row>
    <row r="17" spans="1:5">
      <c r="C17" s="32" t="s">
        <v>11</v>
      </c>
      <c r="D17" s="45">
        <f>46.65*10-8.98</f>
        <v>457.52</v>
      </c>
      <c r="E17" s="46"/>
    </row>
    <row r="18" spans="1:5">
      <c r="C18" s="32" t="s">
        <v>144</v>
      </c>
      <c r="D18" s="32" t="s">
        <v>162</v>
      </c>
    </row>
    <row r="20" spans="1:5">
      <c r="A20" s="32" t="s">
        <v>14</v>
      </c>
      <c r="C20" s="32" t="s">
        <v>9</v>
      </c>
      <c r="D20" s="39"/>
    </row>
    <row r="21" spans="1:5">
      <c r="C21" s="32" t="s">
        <v>11</v>
      </c>
      <c r="D21" s="44">
        <v>50</v>
      </c>
    </row>
    <row r="22" spans="1:5">
      <c r="C22" s="32" t="s">
        <v>12</v>
      </c>
      <c r="D22" s="32" t="s">
        <v>15</v>
      </c>
    </row>
    <row r="23" spans="1:5">
      <c r="C23" s="32" t="s">
        <v>13</v>
      </c>
      <c r="D23" s="32" t="s">
        <v>163</v>
      </c>
    </row>
    <row r="24" spans="1:5">
      <c r="C24" s="32" t="s">
        <v>144</v>
      </c>
      <c r="D24" s="32" t="s">
        <v>143</v>
      </c>
    </row>
    <row r="26" spans="1:5">
      <c r="A26" s="32" t="s">
        <v>74</v>
      </c>
      <c r="C26" s="32" t="s">
        <v>9</v>
      </c>
      <c r="D26" s="39"/>
    </row>
    <row r="27" spans="1:5">
      <c r="C27" s="32" t="s">
        <v>11</v>
      </c>
      <c r="D27" s="44">
        <v>161.24</v>
      </c>
    </row>
    <row r="28" spans="1:5">
      <c r="C28" s="32" t="s">
        <v>12</v>
      </c>
      <c r="D28" s="32" t="s">
        <v>15</v>
      </c>
    </row>
    <row r="29" spans="1:5">
      <c r="C29" s="32" t="s">
        <v>13</v>
      </c>
      <c r="D29" s="32" t="s">
        <v>163</v>
      </c>
    </row>
    <row r="30" spans="1:5">
      <c r="C30" s="32" t="s">
        <v>144</v>
      </c>
      <c r="D30" s="32" t="s">
        <v>145</v>
      </c>
    </row>
    <row r="33" spans="1:4">
      <c r="A33" s="32" t="s">
        <v>21</v>
      </c>
      <c r="C33" s="32" t="s">
        <v>9</v>
      </c>
      <c r="D33" s="39"/>
    </row>
    <row r="34" spans="1:4" ht="16">
      <c r="C34" s="32" t="s">
        <v>11</v>
      </c>
      <c r="D34" s="41">
        <v>5664.94</v>
      </c>
    </row>
    <row r="35" spans="1:4">
      <c r="C35" s="32" t="s">
        <v>12</v>
      </c>
      <c r="D35" s="32" t="s">
        <v>15</v>
      </c>
    </row>
    <row r="36" spans="1:4">
      <c r="C36" s="32" t="s">
        <v>13</v>
      </c>
      <c r="D36" s="32" t="s">
        <v>164</v>
      </c>
    </row>
    <row r="39" spans="1:4">
      <c r="A39" s="32" t="s">
        <v>78</v>
      </c>
      <c r="C39" s="32" t="s">
        <v>22</v>
      </c>
    </row>
    <row r="40" spans="1:4">
      <c r="B40" s="32">
        <v>1</v>
      </c>
      <c r="C40" s="32" t="s">
        <v>23</v>
      </c>
    </row>
    <row r="41" spans="1:4">
      <c r="B41" s="32">
        <v>2</v>
      </c>
      <c r="C41" s="32" t="s">
        <v>24</v>
      </c>
    </row>
    <row r="42" spans="1:4">
      <c r="B42" s="32">
        <v>3</v>
      </c>
      <c r="C42" s="32" t="s">
        <v>25</v>
      </c>
    </row>
    <row r="43" spans="1:4">
      <c r="B43" s="32">
        <v>4</v>
      </c>
      <c r="C43" s="32" t="s">
        <v>26</v>
      </c>
    </row>
    <row r="44" spans="1:4">
      <c r="B44" s="32">
        <v>5</v>
      </c>
      <c r="C44" s="32" t="s">
        <v>161</v>
      </c>
    </row>
    <row r="46" spans="1:4">
      <c r="A46" s="32" t="s">
        <v>20</v>
      </c>
    </row>
    <row r="47" spans="1:4">
      <c r="A47" s="32" t="s">
        <v>6</v>
      </c>
      <c r="C47" s="32" t="s">
        <v>29</v>
      </c>
    </row>
    <row r="48" spans="1:4">
      <c r="A48" s="32" t="s">
        <v>30</v>
      </c>
      <c r="C48" s="32" t="s">
        <v>165</v>
      </c>
    </row>
    <row r="49" spans="1:4">
      <c r="C49" s="42">
        <v>4621.01</v>
      </c>
      <c r="D49" s="32" t="s">
        <v>31</v>
      </c>
    </row>
    <row r="50" spans="1:4">
      <c r="A50" s="32" t="s">
        <v>14</v>
      </c>
      <c r="C50" s="32" t="s">
        <v>166</v>
      </c>
    </row>
    <row r="51" spans="1:4">
      <c r="C51" s="42">
        <v>10012.380000000001</v>
      </c>
      <c r="D51" s="32" t="s">
        <v>33</v>
      </c>
    </row>
    <row r="52" spans="1:4">
      <c r="A52" s="32" t="s">
        <v>18</v>
      </c>
      <c r="C52" s="18" t="s">
        <v>149</v>
      </c>
    </row>
    <row r="53" spans="1:4">
      <c r="C53" s="28" t="s">
        <v>103</v>
      </c>
    </row>
    <row r="55" spans="1:4">
      <c r="D55" s="43"/>
    </row>
  </sheetData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9E12-13EA-4C32-A5B9-7DF79AC723DC}">
  <sheetPr>
    <pageSetUpPr fitToPage="1"/>
  </sheetPr>
  <dimension ref="A1:J55"/>
  <sheetViews>
    <sheetView topLeftCell="A13" workbookViewId="0">
      <selection activeCell="D34" sqref="D34"/>
    </sheetView>
  </sheetViews>
  <sheetFormatPr defaultRowHeight="14.5"/>
  <cols>
    <col min="1" max="1" width="8.7265625" style="32"/>
    <col min="2" max="2" width="4.36328125" style="32" customWidth="1"/>
    <col min="3" max="3" width="42.7265625" style="32" bestFit="1" customWidth="1"/>
    <col min="4" max="4" width="12.26953125" style="32" customWidth="1"/>
    <col min="5" max="6" width="8.7265625" style="32"/>
    <col min="7" max="7" width="11.7265625" style="32" bestFit="1" customWidth="1"/>
    <col min="8" max="16384" width="8.7265625" style="32"/>
  </cols>
  <sheetData>
    <row r="1" spans="1:10">
      <c r="A1" s="31" t="s">
        <v>3</v>
      </c>
      <c r="B1" s="31"/>
      <c r="F1" s="33"/>
      <c r="G1" s="34" t="s">
        <v>57</v>
      </c>
      <c r="H1" s="35"/>
      <c r="I1" s="36"/>
      <c r="J1" s="36"/>
    </row>
    <row r="2" spans="1:10">
      <c r="A2" s="31" t="s">
        <v>4</v>
      </c>
      <c r="B2" s="31"/>
      <c r="G2" s="34" t="s">
        <v>58</v>
      </c>
      <c r="H2" s="35"/>
      <c r="I2" s="36"/>
      <c r="J2" s="36"/>
    </row>
    <row r="3" spans="1:10">
      <c r="A3" s="31" t="s">
        <v>2</v>
      </c>
      <c r="B3" s="31"/>
    </row>
    <row r="4" spans="1:10">
      <c r="A4" s="31"/>
      <c r="B4" s="31"/>
    </row>
    <row r="5" spans="1:10">
      <c r="A5" s="32" t="s">
        <v>1</v>
      </c>
      <c r="C5" s="37">
        <v>45798</v>
      </c>
    </row>
    <row r="6" spans="1:10">
      <c r="A6" s="32" t="s">
        <v>151</v>
      </c>
      <c r="C6" s="37">
        <v>45799</v>
      </c>
    </row>
    <row r="8" spans="1:10">
      <c r="A8" s="32" t="s">
        <v>5</v>
      </c>
    </row>
    <row r="10" spans="1:10">
      <c r="A10" s="32" t="s">
        <v>6</v>
      </c>
      <c r="C10" s="38" t="s">
        <v>127</v>
      </c>
    </row>
    <row r="11" spans="1:10">
      <c r="C11" s="38" t="s">
        <v>128</v>
      </c>
      <c r="D11" s="39">
        <v>48</v>
      </c>
    </row>
    <row r="12" spans="1:10">
      <c r="C12" s="32" t="s">
        <v>10</v>
      </c>
      <c r="D12" s="39"/>
      <c r="E12" s="32" t="s">
        <v>27</v>
      </c>
      <c r="F12" s="39"/>
    </row>
    <row r="14" spans="1:10">
      <c r="A14" s="32" t="s">
        <v>30</v>
      </c>
      <c r="C14" s="32" t="s">
        <v>99</v>
      </c>
    </row>
    <row r="15" spans="1:10">
      <c r="C15" s="32" t="s">
        <v>9</v>
      </c>
      <c r="D15" s="39"/>
    </row>
    <row r="16" spans="1:10">
      <c r="C16" s="32" t="s">
        <v>12</v>
      </c>
      <c r="D16" s="32" t="s">
        <v>44</v>
      </c>
    </row>
    <row r="17" spans="1:5">
      <c r="C17" s="32" t="s">
        <v>11</v>
      </c>
      <c r="D17" s="45">
        <f>55.25*10-9.47</f>
        <v>543.03</v>
      </c>
      <c r="E17" s="46"/>
    </row>
    <row r="18" spans="1:5">
      <c r="C18" s="32" t="s">
        <v>144</v>
      </c>
      <c r="D18" s="32" t="s">
        <v>156</v>
      </c>
    </row>
    <row r="20" spans="1:5">
      <c r="A20" s="32" t="s">
        <v>14</v>
      </c>
      <c r="C20" s="32" t="s">
        <v>9</v>
      </c>
      <c r="D20" s="39"/>
    </row>
    <row r="21" spans="1:5">
      <c r="C21" s="32" t="s">
        <v>11</v>
      </c>
      <c r="D21" s="44">
        <v>50</v>
      </c>
    </row>
    <row r="22" spans="1:5">
      <c r="C22" s="32" t="s">
        <v>12</v>
      </c>
      <c r="D22" s="32" t="s">
        <v>15</v>
      </c>
    </row>
    <row r="23" spans="1:5">
      <c r="C23" s="32" t="s">
        <v>13</v>
      </c>
      <c r="D23" s="32" t="s">
        <v>157</v>
      </c>
    </row>
    <row r="24" spans="1:5">
      <c r="C24" s="32" t="s">
        <v>144</v>
      </c>
      <c r="D24" s="32" t="s">
        <v>143</v>
      </c>
    </row>
    <row r="26" spans="1:5">
      <c r="A26" s="32" t="s">
        <v>74</v>
      </c>
      <c r="C26" s="32" t="s">
        <v>9</v>
      </c>
      <c r="D26" s="39"/>
    </row>
    <row r="27" spans="1:5">
      <c r="C27" s="32" t="s">
        <v>11</v>
      </c>
      <c r="D27" s="44">
        <v>161.24</v>
      </c>
    </row>
    <row r="28" spans="1:5">
      <c r="C28" s="32" t="s">
        <v>12</v>
      </c>
      <c r="D28" s="32" t="s">
        <v>15</v>
      </c>
    </row>
    <row r="29" spans="1:5">
      <c r="C29" s="32" t="s">
        <v>13</v>
      </c>
      <c r="D29" s="32" t="s">
        <v>157</v>
      </c>
    </row>
    <row r="30" spans="1:5">
      <c r="C30" s="32" t="s">
        <v>144</v>
      </c>
      <c r="D30" s="32" t="s">
        <v>145</v>
      </c>
    </row>
    <row r="33" spans="1:4">
      <c r="A33" s="32" t="s">
        <v>21</v>
      </c>
      <c r="C33" s="32" t="s">
        <v>9</v>
      </c>
      <c r="D33" s="39"/>
    </row>
    <row r="34" spans="1:4" ht="16">
      <c r="C34" s="32" t="s">
        <v>11</v>
      </c>
      <c r="D34" s="41">
        <v>6674.25</v>
      </c>
    </row>
    <row r="35" spans="1:4">
      <c r="C35" s="32" t="s">
        <v>12</v>
      </c>
      <c r="D35" s="32" t="s">
        <v>15</v>
      </c>
    </row>
    <row r="36" spans="1:4">
      <c r="C36" s="32" t="s">
        <v>13</v>
      </c>
      <c r="D36" s="32" t="s">
        <v>158</v>
      </c>
    </row>
    <row r="39" spans="1:4">
      <c r="A39" s="32" t="s">
        <v>78</v>
      </c>
      <c r="C39" s="32" t="s">
        <v>22</v>
      </c>
    </row>
    <row r="40" spans="1:4">
      <c r="B40" s="32">
        <v>1</v>
      </c>
      <c r="C40" s="32" t="s">
        <v>23</v>
      </c>
    </row>
    <row r="41" spans="1:4">
      <c r="B41" s="32">
        <v>2</v>
      </c>
      <c r="C41" s="32" t="s">
        <v>24</v>
      </c>
    </row>
    <row r="42" spans="1:4">
      <c r="B42" s="32">
        <v>3</v>
      </c>
      <c r="C42" s="32" t="s">
        <v>25</v>
      </c>
    </row>
    <row r="43" spans="1:4">
      <c r="B43" s="32">
        <v>4</v>
      </c>
      <c r="C43" s="32" t="s">
        <v>26</v>
      </c>
    </row>
    <row r="44" spans="1:4">
      <c r="B44" s="32">
        <v>5</v>
      </c>
      <c r="C44" s="32" t="s">
        <v>161</v>
      </c>
    </row>
    <row r="46" spans="1:4">
      <c r="A46" s="32" t="s">
        <v>20</v>
      </c>
    </row>
    <row r="47" spans="1:4">
      <c r="A47" s="32" t="s">
        <v>6</v>
      </c>
      <c r="C47" s="32" t="s">
        <v>29</v>
      </c>
    </row>
    <row r="48" spans="1:4">
      <c r="A48" s="32" t="s">
        <v>30</v>
      </c>
      <c r="C48" s="32" t="s">
        <v>159</v>
      </c>
    </row>
    <row r="49" spans="1:4">
      <c r="C49" s="42">
        <v>4947.04</v>
      </c>
      <c r="D49" s="32" t="s">
        <v>31</v>
      </c>
    </row>
    <row r="50" spans="1:4">
      <c r="A50" s="32" t="s">
        <v>14</v>
      </c>
      <c r="C50" s="32" t="s">
        <v>160</v>
      </c>
    </row>
    <row r="51" spans="1:4">
      <c r="C51" s="42">
        <v>10957.1</v>
      </c>
      <c r="D51" s="32" t="s">
        <v>33</v>
      </c>
    </row>
    <row r="52" spans="1:4">
      <c r="A52" s="32" t="s">
        <v>18</v>
      </c>
      <c r="C52" s="18" t="s">
        <v>149</v>
      </c>
    </row>
    <row r="53" spans="1:4">
      <c r="C53" s="28" t="s">
        <v>103</v>
      </c>
    </row>
    <row r="55" spans="1:4">
      <c r="D55" s="43"/>
    </row>
  </sheetData>
  <pageMargins left="0.7" right="0.7" top="0.75" bottom="0.75" header="0.3" footer="0.3"/>
  <pageSetup scale="7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237E-1DC1-4560-9D1D-B171A54CA4E0}">
  <sheetPr>
    <pageSetUpPr fitToPage="1"/>
  </sheetPr>
  <dimension ref="A1:I55"/>
  <sheetViews>
    <sheetView topLeftCell="A22" workbookViewId="0">
      <selection activeCell="C34" sqref="C34"/>
    </sheetView>
  </sheetViews>
  <sheetFormatPr defaultRowHeight="14.5"/>
  <cols>
    <col min="1" max="1" width="8.7265625" style="32"/>
    <col min="2" max="2" width="42.7265625" style="32" bestFit="1" customWidth="1"/>
    <col min="3" max="3" width="12.26953125" style="32" customWidth="1"/>
    <col min="4" max="5" width="8.7265625" style="32"/>
    <col min="6" max="6" width="11.7265625" style="32" bestFit="1" customWidth="1"/>
    <col min="7" max="16384" width="8.7265625" style="32"/>
  </cols>
  <sheetData>
    <row r="1" spans="1:9">
      <c r="A1" s="31" t="s">
        <v>3</v>
      </c>
      <c r="E1" s="33"/>
      <c r="F1" s="34" t="s">
        <v>57</v>
      </c>
      <c r="G1" s="35"/>
      <c r="H1" s="36"/>
      <c r="I1" s="36"/>
    </row>
    <row r="2" spans="1:9">
      <c r="A2" s="31" t="s">
        <v>4</v>
      </c>
      <c r="F2" s="34" t="s">
        <v>58</v>
      </c>
      <c r="G2" s="35"/>
      <c r="H2" s="36"/>
      <c r="I2" s="36"/>
    </row>
    <row r="3" spans="1:9">
      <c r="A3" s="31" t="s">
        <v>2</v>
      </c>
    </row>
    <row r="4" spans="1:9">
      <c r="A4" s="31"/>
    </row>
    <row r="5" spans="1:9">
      <c r="A5" s="32" t="s">
        <v>1</v>
      </c>
      <c r="B5" s="37">
        <v>45784</v>
      </c>
    </row>
    <row r="6" spans="1:9">
      <c r="A6" s="32" t="s">
        <v>151</v>
      </c>
      <c r="B6" s="37">
        <v>45785</v>
      </c>
    </row>
    <row r="8" spans="1:9">
      <c r="A8" s="32" t="s">
        <v>5</v>
      </c>
    </row>
    <row r="10" spans="1:9">
      <c r="A10" s="32" t="s">
        <v>6</v>
      </c>
      <c r="B10" s="38" t="s">
        <v>127</v>
      </c>
    </row>
    <row r="11" spans="1:9">
      <c r="B11" s="38" t="s">
        <v>128</v>
      </c>
      <c r="C11" s="39">
        <v>49</v>
      </c>
    </row>
    <row r="12" spans="1:9">
      <c r="B12" s="32" t="s">
        <v>10</v>
      </c>
      <c r="C12" s="39"/>
      <c r="D12" s="32" t="s">
        <v>27</v>
      </c>
      <c r="E12" s="39"/>
    </row>
    <row r="14" spans="1:9">
      <c r="A14" s="32" t="s">
        <v>30</v>
      </c>
      <c r="B14" s="32" t="s">
        <v>99</v>
      </c>
    </row>
    <row r="15" spans="1:9">
      <c r="B15" s="32" t="s">
        <v>9</v>
      </c>
      <c r="C15" s="39"/>
    </row>
    <row r="16" spans="1:9">
      <c r="B16" s="32" t="s">
        <v>12</v>
      </c>
      <c r="C16" s="32" t="s">
        <v>44</v>
      </c>
    </row>
    <row r="17" spans="1:4">
      <c r="B17" s="32" t="s">
        <v>11</v>
      </c>
      <c r="C17" s="45">
        <f>60*10-17.45</f>
        <v>582.54999999999995</v>
      </c>
      <c r="D17" s="46"/>
    </row>
    <row r="18" spans="1:4">
      <c r="B18" s="32" t="s">
        <v>144</v>
      </c>
      <c r="C18" s="32" t="s">
        <v>153</v>
      </c>
    </row>
    <row r="20" spans="1:4">
      <c r="A20" s="32" t="s">
        <v>14</v>
      </c>
      <c r="B20" s="32" t="s">
        <v>9</v>
      </c>
      <c r="C20" s="39"/>
    </row>
    <row r="21" spans="1:4">
      <c r="B21" s="32" t="s">
        <v>11</v>
      </c>
      <c r="C21" s="44">
        <v>50</v>
      </c>
    </row>
    <row r="22" spans="1:4">
      <c r="B22" s="32" t="s">
        <v>12</v>
      </c>
      <c r="C22" s="32" t="s">
        <v>15</v>
      </c>
    </row>
    <row r="23" spans="1:4">
      <c r="B23" s="32" t="s">
        <v>13</v>
      </c>
      <c r="C23" s="32" t="s">
        <v>152</v>
      </c>
    </row>
    <row r="24" spans="1:4">
      <c r="B24" s="32" t="s">
        <v>144</v>
      </c>
      <c r="C24" s="32" t="s">
        <v>143</v>
      </c>
    </row>
    <row r="26" spans="1:4">
      <c r="A26" s="32" t="s">
        <v>74</v>
      </c>
      <c r="B26" s="32" t="s">
        <v>9</v>
      </c>
      <c r="C26" s="39"/>
    </row>
    <row r="27" spans="1:4">
      <c r="B27" s="32" t="s">
        <v>11</v>
      </c>
      <c r="C27" s="44">
        <v>161.24</v>
      </c>
    </row>
    <row r="28" spans="1:4">
      <c r="B28" s="32" t="s">
        <v>12</v>
      </c>
      <c r="C28" s="32" t="s">
        <v>15</v>
      </c>
    </row>
    <row r="29" spans="1:4">
      <c r="B29" s="32" t="s">
        <v>13</v>
      </c>
      <c r="C29" s="32" t="s">
        <v>152</v>
      </c>
    </row>
    <row r="30" spans="1:4">
      <c r="B30" s="32" t="s">
        <v>144</v>
      </c>
      <c r="C30" s="32" t="s">
        <v>145</v>
      </c>
    </row>
    <row r="33" spans="1:3">
      <c r="A33" s="32" t="s">
        <v>21</v>
      </c>
      <c r="B33" s="32" t="s">
        <v>9</v>
      </c>
      <c r="C33" s="39"/>
    </row>
    <row r="34" spans="1:3" ht="16">
      <c r="B34" s="32" t="s">
        <v>11</v>
      </c>
      <c r="C34" s="41">
        <v>6577.68</v>
      </c>
    </row>
    <row r="35" spans="1:3">
      <c r="B35" s="32" t="s">
        <v>12</v>
      </c>
      <c r="C35" s="32" t="s">
        <v>15</v>
      </c>
    </row>
    <row r="36" spans="1:3">
      <c r="B36" s="32" t="s">
        <v>13</v>
      </c>
      <c r="C36" s="32" t="s">
        <v>146</v>
      </c>
    </row>
    <row r="39" spans="1:3">
      <c r="A39" s="32" t="s">
        <v>78</v>
      </c>
      <c r="B39" s="32" t="s">
        <v>22</v>
      </c>
    </row>
    <row r="40" spans="1:3">
      <c r="B40" s="32" t="s">
        <v>23</v>
      </c>
    </row>
    <row r="41" spans="1:3">
      <c r="B41" s="32" t="s">
        <v>24</v>
      </c>
    </row>
    <row r="42" spans="1:3">
      <c r="B42" s="32" t="s">
        <v>25</v>
      </c>
    </row>
    <row r="43" spans="1:3">
      <c r="B43" s="32" t="s">
        <v>26</v>
      </c>
    </row>
    <row r="46" spans="1:3">
      <c r="A46" s="32" t="s">
        <v>20</v>
      </c>
    </row>
    <row r="47" spans="1:3">
      <c r="A47" s="32" t="s">
        <v>6</v>
      </c>
      <c r="B47" s="32" t="s">
        <v>29</v>
      </c>
    </row>
    <row r="48" spans="1:3">
      <c r="A48" s="32" t="s">
        <v>30</v>
      </c>
      <c r="B48" s="32" t="s">
        <v>154</v>
      </c>
    </row>
    <row r="49" spans="1:3">
      <c r="B49" s="42">
        <v>4662.54</v>
      </c>
      <c r="C49" s="32" t="s">
        <v>31</v>
      </c>
    </row>
    <row r="50" spans="1:3">
      <c r="A50" s="32" t="s">
        <v>14</v>
      </c>
      <c r="B50" s="32" t="s">
        <v>155</v>
      </c>
    </row>
    <row r="51" spans="1:3">
      <c r="B51" s="42">
        <v>10669.42</v>
      </c>
      <c r="C51" s="32" t="s">
        <v>33</v>
      </c>
    </row>
    <row r="52" spans="1:3">
      <c r="A52" s="32" t="s">
        <v>18</v>
      </c>
      <c r="B52" s="18" t="s">
        <v>149</v>
      </c>
    </row>
    <row r="53" spans="1:3">
      <c r="B53" s="28" t="s">
        <v>103</v>
      </c>
    </row>
    <row r="55" spans="1:3">
      <c r="C55" s="43"/>
    </row>
  </sheetData>
  <pageMargins left="0.7" right="0.7" top="0.75" bottom="0.75" header="0.3" footer="0.3"/>
  <pageSetup scale="7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41E7-A102-439E-80AA-06545FC4FD2F}">
  <sheetPr>
    <pageSetUpPr fitToPage="1"/>
  </sheetPr>
  <dimension ref="A1:I54"/>
  <sheetViews>
    <sheetView workbookViewId="0">
      <selection activeCell="C33" sqref="C33"/>
    </sheetView>
  </sheetViews>
  <sheetFormatPr defaultRowHeight="14.5"/>
  <cols>
    <col min="1" max="1" width="8.7265625" style="32"/>
    <col min="2" max="2" width="42.7265625" style="32" bestFit="1" customWidth="1"/>
    <col min="3" max="3" width="12.26953125" style="32" customWidth="1"/>
    <col min="4" max="5" width="8.7265625" style="32"/>
    <col min="6" max="6" width="11.7265625" style="32" bestFit="1" customWidth="1"/>
    <col min="7" max="16384" width="8.7265625" style="32"/>
  </cols>
  <sheetData>
    <row r="1" spans="1:9">
      <c r="A1" s="31" t="s">
        <v>3</v>
      </c>
      <c r="E1" s="33"/>
      <c r="F1" s="34" t="s">
        <v>57</v>
      </c>
      <c r="G1" s="35"/>
      <c r="H1" s="36"/>
      <c r="I1" s="36"/>
    </row>
    <row r="2" spans="1:9">
      <c r="A2" s="31" t="s">
        <v>4</v>
      </c>
      <c r="F2" s="34" t="s">
        <v>58</v>
      </c>
      <c r="G2" s="35"/>
      <c r="H2" s="36"/>
      <c r="I2" s="36"/>
    </row>
    <row r="4" spans="1:9">
      <c r="A4" s="32" t="s">
        <v>1</v>
      </c>
      <c r="B4" s="37">
        <v>45770</v>
      </c>
    </row>
    <row r="5" spans="1:9">
      <c r="A5" s="32" t="s">
        <v>0</v>
      </c>
      <c r="B5" s="32" t="s">
        <v>2</v>
      </c>
    </row>
    <row r="7" spans="1:9">
      <c r="A7" s="32" t="s">
        <v>5</v>
      </c>
    </row>
    <row r="9" spans="1:9">
      <c r="A9" s="32" t="s">
        <v>6</v>
      </c>
      <c r="B9" s="38" t="s">
        <v>127</v>
      </c>
    </row>
    <row r="10" spans="1:9">
      <c r="B10" s="38" t="s">
        <v>128</v>
      </c>
      <c r="C10" s="39">
        <v>49</v>
      </c>
    </row>
    <row r="11" spans="1:9">
      <c r="B11" s="32" t="s">
        <v>10</v>
      </c>
      <c r="C11" s="39"/>
      <c r="D11" s="32" t="s">
        <v>27</v>
      </c>
      <c r="E11" s="39"/>
    </row>
    <row r="13" spans="1:9">
      <c r="A13" s="32" t="s">
        <v>30</v>
      </c>
      <c r="B13" s="32" t="s">
        <v>99</v>
      </c>
    </row>
    <row r="14" spans="1:9">
      <c r="B14" s="32" t="s">
        <v>9</v>
      </c>
      <c r="C14" s="39"/>
    </row>
    <row r="15" spans="1:9">
      <c r="B15" s="32" t="s">
        <v>12</v>
      </c>
      <c r="C15" s="32" t="s">
        <v>44</v>
      </c>
    </row>
    <row r="16" spans="1:9">
      <c r="B16" s="32" t="s">
        <v>11</v>
      </c>
      <c r="C16" s="45">
        <f>36.5*10</f>
        <v>365</v>
      </c>
    </row>
    <row r="17" spans="1:3">
      <c r="B17" s="32" t="s">
        <v>144</v>
      </c>
      <c r="C17" s="32" t="s">
        <v>150</v>
      </c>
    </row>
    <row r="19" spans="1:3">
      <c r="A19" s="32" t="s">
        <v>14</v>
      </c>
      <c r="B19" s="32" t="s">
        <v>9</v>
      </c>
      <c r="C19" s="39"/>
    </row>
    <row r="20" spans="1:3">
      <c r="B20" s="32" t="s">
        <v>11</v>
      </c>
      <c r="C20" s="44">
        <v>50</v>
      </c>
    </row>
    <row r="21" spans="1:3">
      <c r="B21" s="32" t="s">
        <v>12</v>
      </c>
      <c r="C21" s="32" t="s">
        <v>15</v>
      </c>
    </row>
    <row r="22" spans="1:3">
      <c r="B22" s="32" t="s">
        <v>13</v>
      </c>
      <c r="C22" s="32" t="s">
        <v>142</v>
      </c>
    </row>
    <row r="23" spans="1:3">
      <c r="B23" s="32" t="s">
        <v>144</v>
      </c>
      <c r="C23" s="32" t="s">
        <v>143</v>
      </c>
    </row>
    <row r="25" spans="1:3">
      <c r="A25" s="32" t="s">
        <v>74</v>
      </c>
      <c r="B25" s="32" t="s">
        <v>9</v>
      </c>
      <c r="C25" s="39"/>
    </row>
    <row r="26" spans="1:3">
      <c r="B26" s="32" t="s">
        <v>11</v>
      </c>
      <c r="C26" s="44">
        <v>161.24</v>
      </c>
    </row>
    <row r="27" spans="1:3">
      <c r="B27" s="32" t="s">
        <v>12</v>
      </c>
      <c r="C27" s="32" t="s">
        <v>15</v>
      </c>
    </row>
    <row r="28" spans="1:3">
      <c r="B28" s="32" t="s">
        <v>13</v>
      </c>
      <c r="C28" s="32" t="s">
        <v>142</v>
      </c>
    </row>
    <row r="29" spans="1:3">
      <c r="B29" s="32" t="s">
        <v>144</v>
      </c>
      <c r="C29" s="32" t="s">
        <v>145</v>
      </c>
    </row>
    <row r="32" spans="1:3">
      <c r="A32" s="32" t="s">
        <v>21</v>
      </c>
      <c r="B32" s="32" t="s">
        <v>9</v>
      </c>
      <c r="C32" s="39"/>
    </row>
    <row r="33" spans="1:3" ht="16">
      <c r="B33" s="32" t="s">
        <v>11</v>
      </c>
      <c r="C33" s="41">
        <v>6233.54</v>
      </c>
    </row>
    <row r="34" spans="1:3">
      <c r="B34" s="32" t="s">
        <v>12</v>
      </c>
      <c r="C34" s="32" t="s">
        <v>15</v>
      </c>
    </row>
    <row r="35" spans="1:3">
      <c r="B35" s="32" t="s">
        <v>13</v>
      </c>
      <c r="C35" s="32" t="s">
        <v>146</v>
      </c>
    </row>
    <row r="38" spans="1:3">
      <c r="A38" s="32" t="s">
        <v>78</v>
      </c>
      <c r="B38" s="32" t="s">
        <v>22</v>
      </c>
    </row>
    <row r="39" spans="1:3">
      <c r="B39" s="32" t="s">
        <v>23</v>
      </c>
    </row>
    <row r="40" spans="1:3">
      <c r="B40" s="32" t="s">
        <v>24</v>
      </c>
    </row>
    <row r="41" spans="1:3">
      <c r="B41" s="32" t="s">
        <v>25</v>
      </c>
    </row>
    <row r="42" spans="1:3">
      <c r="B42" s="32" t="s">
        <v>26</v>
      </c>
    </row>
    <row r="45" spans="1:3">
      <c r="A45" s="32" t="s">
        <v>20</v>
      </c>
    </row>
    <row r="46" spans="1:3">
      <c r="A46" s="32" t="s">
        <v>6</v>
      </c>
      <c r="B46" s="32" t="s">
        <v>29</v>
      </c>
    </row>
    <row r="47" spans="1:3">
      <c r="A47" s="32" t="s">
        <v>30</v>
      </c>
      <c r="B47" s="32" t="s">
        <v>147</v>
      </c>
    </row>
    <row r="48" spans="1:3">
      <c r="B48" s="42">
        <v>4481.63</v>
      </c>
      <c r="C48" s="32" t="s">
        <v>31</v>
      </c>
    </row>
    <row r="49" spans="1:3">
      <c r="A49" s="32" t="s">
        <v>14</v>
      </c>
      <c r="B49" s="32" t="s">
        <v>148</v>
      </c>
    </row>
    <row r="50" spans="1:3">
      <c r="B50" s="42">
        <v>10320.48</v>
      </c>
      <c r="C50" s="32" t="s">
        <v>33</v>
      </c>
    </row>
    <row r="51" spans="1:3">
      <c r="A51" s="32" t="s">
        <v>18</v>
      </c>
      <c r="B51" s="18" t="s">
        <v>149</v>
      </c>
    </row>
    <row r="52" spans="1:3">
      <c r="B52" s="28" t="s">
        <v>103</v>
      </c>
    </row>
    <row r="54" spans="1:3">
      <c r="C54" s="43"/>
    </row>
  </sheetData>
  <pageMargins left="0.7" right="0.7" top="0.75" bottom="0.75" header="0.3" footer="0.3"/>
  <pageSetup scale="7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DD3E-4FE2-49B4-8620-5F508E1FB96E}">
  <sheetPr>
    <pageSetUpPr fitToPage="1"/>
  </sheetPr>
  <dimension ref="A1:I43"/>
  <sheetViews>
    <sheetView workbookViewId="0">
      <selection activeCell="E24" sqref="E24"/>
    </sheetView>
  </sheetViews>
  <sheetFormatPr defaultRowHeight="14.5"/>
  <cols>
    <col min="1" max="1" width="8.7265625" style="32"/>
    <col min="2" max="2" width="42.7265625" style="32" bestFit="1" customWidth="1"/>
    <col min="3" max="3" width="12.26953125" style="32" customWidth="1"/>
    <col min="4" max="5" width="8.7265625" style="32"/>
    <col min="6" max="6" width="11.7265625" style="32" bestFit="1" customWidth="1"/>
    <col min="7" max="16384" width="8.7265625" style="32"/>
  </cols>
  <sheetData>
    <row r="1" spans="1:9">
      <c r="A1" s="31" t="s">
        <v>3</v>
      </c>
      <c r="E1" s="33"/>
      <c r="F1" s="34" t="s">
        <v>57</v>
      </c>
      <c r="G1" s="35"/>
      <c r="H1" s="36"/>
      <c r="I1" s="36"/>
    </row>
    <row r="2" spans="1:9">
      <c r="A2" s="31" t="s">
        <v>4</v>
      </c>
      <c r="F2" s="34" t="s">
        <v>58</v>
      </c>
      <c r="G2" s="35"/>
      <c r="H2" s="36"/>
      <c r="I2" s="36"/>
    </row>
    <row r="4" spans="1:9">
      <c r="A4" s="32" t="s">
        <v>1</v>
      </c>
      <c r="B4" s="37">
        <v>45756</v>
      </c>
    </row>
    <row r="5" spans="1:9">
      <c r="A5" s="32" t="s">
        <v>0</v>
      </c>
      <c r="B5" s="32" t="s">
        <v>2</v>
      </c>
    </row>
    <row r="7" spans="1:9">
      <c r="A7" s="32" t="s">
        <v>5</v>
      </c>
    </row>
    <row r="9" spans="1:9">
      <c r="A9" s="32" t="s">
        <v>6</v>
      </c>
      <c r="B9" s="38" t="s">
        <v>127</v>
      </c>
    </row>
    <row r="10" spans="1:9">
      <c r="B10" s="38" t="s">
        <v>128</v>
      </c>
      <c r="C10" s="39"/>
    </row>
    <row r="11" spans="1:9">
      <c r="B11" s="32" t="s">
        <v>10</v>
      </c>
      <c r="C11" s="39"/>
      <c r="D11" s="32" t="s">
        <v>27</v>
      </c>
      <c r="E11" s="39"/>
    </row>
    <row r="13" spans="1:9">
      <c r="A13" s="32" t="s">
        <v>30</v>
      </c>
      <c r="B13" s="32" t="s">
        <v>99</v>
      </c>
    </row>
    <row r="14" spans="1:9">
      <c r="B14" s="32" t="s">
        <v>9</v>
      </c>
      <c r="C14" s="39"/>
    </row>
    <row r="16" spans="1:9">
      <c r="A16" s="32" t="s">
        <v>14</v>
      </c>
      <c r="B16" s="32" t="s">
        <v>9</v>
      </c>
      <c r="C16" s="39"/>
    </row>
    <row r="17" spans="1:3">
      <c r="B17" s="32" t="s">
        <v>11</v>
      </c>
      <c r="C17" s="40">
        <v>50</v>
      </c>
    </row>
    <row r="18" spans="1:3">
      <c r="B18" s="32" t="s">
        <v>12</v>
      </c>
      <c r="C18" s="32" t="s">
        <v>15</v>
      </c>
    </row>
    <row r="19" spans="1:3">
      <c r="B19" s="32" t="s">
        <v>13</v>
      </c>
      <c r="C19" s="32" t="s">
        <v>138</v>
      </c>
    </row>
    <row r="21" spans="1:3">
      <c r="A21" s="32" t="s">
        <v>18</v>
      </c>
      <c r="B21" s="32" t="s">
        <v>9</v>
      </c>
      <c r="C21" s="39"/>
    </row>
    <row r="22" spans="1:3" ht="16">
      <c r="B22" s="32" t="s">
        <v>11</v>
      </c>
      <c r="C22" s="41">
        <v>6251.77</v>
      </c>
    </row>
    <row r="23" spans="1:3">
      <c r="B23" s="32" t="s">
        <v>12</v>
      </c>
      <c r="C23" s="32" t="s">
        <v>15</v>
      </c>
    </row>
    <row r="24" spans="1:3">
      <c r="B24" s="32" t="s">
        <v>13</v>
      </c>
      <c r="C24" s="32" t="s">
        <v>139</v>
      </c>
    </row>
    <row r="27" spans="1:3">
      <c r="A27" s="32" t="s">
        <v>21</v>
      </c>
      <c r="B27" s="32" t="s">
        <v>22</v>
      </c>
    </row>
    <row r="28" spans="1:3">
      <c r="B28" s="32" t="s">
        <v>23</v>
      </c>
    </row>
    <row r="29" spans="1:3">
      <c r="B29" s="32" t="s">
        <v>24</v>
      </c>
    </row>
    <row r="30" spans="1:3">
      <c r="B30" s="32" t="s">
        <v>25</v>
      </c>
    </row>
    <row r="31" spans="1:3">
      <c r="B31" s="32" t="s">
        <v>26</v>
      </c>
    </row>
    <row r="34" spans="1:3">
      <c r="A34" s="32" t="s">
        <v>20</v>
      </c>
    </row>
    <row r="35" spans="1:3">
      <c r="A35" s="32" t="s">
        <v>6</v>
      </c>
      <c r="B35" s="32" t="s">
        <v>29</v>
      </c>
    </row>
    <row r="36" spans="1:3">
      <c r="A36" s="32" t="s">
        <v>30</v>
      </c>
      <c r="B36" s="32" t="s">
        <v>140</v>
      </c>
    </row>
    <row r="37" spans="1:3">
      <c r="B37" s="42">
        <v>4538.26</v>
      </c>
      <c r="C37" s="32" t="s">
        <v>31</v>
      </c>
    </row>
    <row r="38" spans="1:3">
      <c r="A38" s="32" t="s">
        <v>14</v>
      </c>
      <c r="B38" s="32" t="s">
        <v>141</v>
      </c>
    </row>
    <row r="39" spans="1:3">
      <c r="B39" s="42">
        <v>10515.16</v>
      </c>
      <c r="C39" s="32" t="s">
        <v>33</v>
      </c>
    </row>
    <row r="41" spans="1:3">
      <c r="B41" s="43"/>
    </row>
    <row r="43" spans="1:3">
      <c r="C43" s="43"/>
    </row>
  </sheetData>
  <pageMargins left="0.7" right="0.7" top="0.75" bottom="0.75" header="0.3" footer="0.3"/>
  <pageSetup scale="7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A04-6CAD-46A2-9CE0-DFF0AECB1671}">
  <sheetPr>
    <pageSetUpPr fitToPage="1"/>
  </sheetPr>
  <dimension ref="A1:I43"/>
  <sheetViews>
    <sheetView topLeftCell="A27" workbookViewId="0">
      <selection activeCell="B39" sqref="B39"/>
    </sheetView>
  </sheetViews>
  <sheetFormatPr defaultRowHeight="14.5"/>
  <cols>
    <col min="1" max="1" width="8.7265625" style="32"/>
    <col min="2" max="2" width="42.7265625" style="32" bestFit="1" customWidth="1"/>
    <col min="3" max="3" width="12.26953125" style="32" customWidth="1"/>
    <col min="4" max="5" width="8.7265625" style="32"/>
    <col min="6" max="6" width="11.7265625" style="32" bestFit="1" customWidth="1"/>
    <col min="7" max="16384" width="8.7265625" style="32"/>
  </cols>
  <sheetData>
    <row r="1" spans="1:9">
      <c r="A1" s="31" t="s">
        <v>3</v>
      </c>
      <c r="E1" s="33"/>
      <c r="F1" s="34" t="s">
        <v>57</v>
      </c>
      <c r="G1" s="35"/>
      <c r="H1" s="36"/>
      <c r="I1" s="36"/>
    </row>
    <row r="2" spans="1:9">
      <c r="A2" s="31" t="s">
        <v>4</v>
      </c>
      <c r="F2" s="34" t="s">
        <v>58</v>
      </c>
      <c r="G2" s="35"/>
      <c r="H2" s="36"/>
      <c r="I2" s="36"/>
    </row>
    <row r="4" spans="1:9">
      <c r="A4" s="32" t="s">
        <v>1</v>
      </c>
      <c r="B4" s="37">
        <v>45742</v>
      </c>
    </row>
    <row r="5" spans="1:9">
      <c r="A5" s="32" t="s">
        <v>0</v>
      </c>
      <c r="B5" s="32" t="s">
        <v>2</v>
      </c>
    </row>
    <row r="7" spans="1:9">
      <c r="A7" s="32" t="s">
        <v>5</v>
      </c>
    </row>
    <row r="9" spans="1:9">
      <c r="A9" s="32" t="s">
        <v>6</v>
      </c>
      <c r="B9" s="38" t="s">
        <v>127</v>
      </c>
    </row>
    <row r="10" spans="1:9">
      <c r="B10" s="38" t="s">
        <v>128</v>
      </c>
      <c r="C10" s="39"/>
    </row>
    <row r="11" spans="1:9">
      <c r="B11" s="32" t="s">
        <v>10</v>
      </c>
      <c r="C11" s="39"/>
      <c r="D11" s="32" t="s">
        <v>27</v>
      </c>
      <c r="E11" s="39"/>
    </row>
    <row r="13" spans="1:9">
      <c r="A13" s="32" t="s">
        <v>30</v>
      </c>
      <c r="B13" s="32" t="s">
        <v>99</v>
      </c>
    </row>
    <row r="14" spans="1:9">
      <c r="B14" s="32" t="s">
        <v>9</v>
      </c>
      <c r="C14" s="39"/>
    </row>
    <row r="16" spans="1:9">
      <c r="A16" s="32" t="s">
        <v>14</v>
      </c>
      <c r="B16" s="32" t="s">
        <v>9</v>
      </c>
      <c r="C16" s="39"/>
    </row>
    <row r="17" spans="1:3">
      <c r="B17" s="32" t="s">
        <v>11</v>
      </c>
      <c r="C17" s="40">
        <v>50</v>
      </c>
    </row>
    <row r="18" spans="1:3">
      <c r="B18" s="32" t="s">
        <v>12</v>
      </c>
      <c r="C18" s="32" t="s">
        <v>15</v>
      </c>
    </row>
    <row r="19" spans="1:3">
      <c r="B19" s="32" t="s">
        <v>13</v>
      </c>
      <c r="C19" s="32" t="s">
        <v>134</v>
      </c>
    </row>
    <row r="21" spans="1:3">
      <c r="A21" s="32" t="s">
        <v>18</v>
      </c>
      <c r="B21" s="32" t="s">
        <v>9</v>
      </c>
      <c r="C21" s="39"/>
    </row>
    <row r="22" spans="1:3" ht="16">
      <c r="B22" s="32" t="s">
        <v>11</v>
      </c>
      <c r="C22" s="41">
        <v>6238.52</v>
      </c>
    </row>
    <row r="23" spans="1:3">
      <c r="B23" s="32" t="s">
        <v>12</v>
      </c>
      <c r="C23" s="32" t="s">
        <v>15</v>
      </c>
    </row>
    <row r="24" spans="1:3">
      <c r="B24" s="32" t="s">
        <v>13</v>
      </c>
      <c r="C24" s="32" t="s">
        <v>135</v>
      </c>
    </row>
    <row r="27" spans="1:3">
      <c r="A27" s="32" t="s">
        <v>21</v>
      </c>
      <c r="B27" s="32" t="s">
        <v>22</v>
      </c>
    </row>
    <row r="28" spans="1:3">
      <c r="B28" s="32" t="s">
        <v>23</v>
      </c>
    </row>
    <row r="29" spans="1:3">
      <c r="B29" s="32" t="s">
        <v>24</v>
      </c>
    </row>
    <row r="30" spans="1:3">
      <c r="B30" s="32" t="s">
        <v>25</v>
      </c>
    </row>
    <row r="31" spans="1:3">
      <c r="B31" s="32" t="s">
        <v>26</v>
      </c>
    </row>
    <row r="34" spans="1:3">
      <c r="A34" s="32" t="s">
        <v>20</v>
      </c>
    </row>
    <row r="35" spans="1:3">
      <c r="A35" s="32" t="s">
        <v>6</v>
      </c>
      <c r="B35" s="32" t="s">
        <v>29</v>
      </c>
    </row>
    <row r="36" spans="1:3">
      <c r="A36" s="32" t="s">
        <v>30</v>
      </c>
      <c r="B36" s="32" t="s">
        <v>136</v>
      </c>
    </row>
    <row r="37" spans="1:3">
      <c r="B37" s="42">
        <v>4543.2699999999995</v>
      </c>
      <c r="C37" s="32" t="s">
        <v>31</v>
      </c>
    </row>
    <row r="38" spans="1:3">
      <c r="A38" s="32" t="s">
        <v>14</v>
      </c>
      <c r="B38" s="32" t="s">
        <v>137</v>
      </c>
    </row>
    <row r="39" spans="1:3">
      <c r="B39" s="42">
        <v>10504.68</v>
      </c>
      <c r="C39" s="32" t="s">
        <v>33</v>
      </c>
    </row>
    <row r="41" spans="1:3">
      <c r="B41" s="43"/>
    </row>
    <row r="43" spans="1:3">
      <c r="C43" s="43"/>
    </row>
  </sheetData>
  <pageMargins left="0.7" right="0.7" top="0.75" bottom="0.75" header="0.3" footer="0.3"/>
  <pageSetup scale="7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E978-6B05-47D3-B2D9-DD92A8FB8432}">
  <sheetPr>
    <pageSetUpPr fitToPage="1"/>
  </sheetPr>
  <dimension ref="A1:I43"/>
  <sheetViews>
    <sheetView topLeftCell="A27" workbookViewId="0">
      <selection activeCell="J36" sqref="J36"/>
    </sheetView>
  </sheetViews>
  <sheetFormatPr defaultRowHeight="14"/>
  <cols>
    <col min="1" max="1" width="8.7265625" style="18"/>
    <col min="2" max="2" width="42.7265625" style="18" bestFit="1" customWidth="1"/>
    <col min="3" max="3" width="12.26953125" style="18" customWidth="1"/>
    <col min="4" max="5" width="8.7265625" style="18"/>
    <col min="6" max="6" width="11.7265625" style="18" bestFit="1" customWidth="1"/>
    <col min="7" max="16384" width="8.7265625" style="18"/>
  </cols>
  <sheetData>
    <row r="1" spans="1:9">
      <c r="A1" s="17" t="s">
        <v>3</v>
      </c>
      <c r="E1" s="19"/>
      <c r="F1" s="20" t="s">
        <v>57</v>
      </c>
      <c r="G1" s="21"/>
      <c r="H1" s="22"/>
      <c r="I1" s="22"/>
    </row>
    <row r="2" spans="1:9">
      <c r="A2" s="17" t="s">
        <v>4</v>
      </c>
      <c r="F2" s="20" t="s">
        <v>58</v>
      </c>
      <c r="G2" s="21"/>
      <c r="H2" s="22"/>
      <c r="I2" s="22"/>
    </row>
    <row r="4" spans="1:9">
      <c r="A4" s="18" t="s">
        <v>1</v>
      </c>
      <c r="B4" s="23">
        <v>45728</v>
      </c>
    </row>
    <row r="5" spans="1:9">
      <c r="A5" s="18" t="s">
        <v>0</v>
      </c>
      <c r="B5" s="18" t="s">
        <v>2</v>
      </c>
    </row>
    <row r="7" spans="1:9">
      <c r="A7" s="18" t="s">
        <v>5</v>
      </c>
    </row>
    <row r="9" spans="1:9">
      <c r="A9" s="18" t="s">
        <v>6</v>
      </c>
      <c r="B9" s="29" t="s">
        <v>127</v>
      </c>
    </row>
    <row r="10" spans="1:9">
      <c r="B10" s="29" t="s">
        <v>128</v>
      </c>
      <c r="C10" s="24"/>
    </row>
    <row r="11" spans="1:9">
      <c r="B11" s="18" t="s">
        <v>10</v>
      </c>
      <c r="C11" s="24"/>
      <c r="D11" s="18" t="s">
        <v>27</v>
      </c>
      <c r="E11" s="24"/>
    </row>
    <row r="13" spans="1:9">
      <c r="A13" s="18" t="s">
        <v>30</v>
      </c>
      <c r="B13" s="18" t="s">
        <v>99</v>
      </c>
    </row>
    <row r="14" spans="1:9">
      <c r="B14" s="18" t="s">
        <v>9</v>
      </c>
      <c r="C14" s="24"/>
    </row>
    <row r="16" spans="1:9">
      <c r="A16" s="18" t="s">
        <v>14</v>
      </c>
      <c r="B16" s="18" t="s">
        <v>9</v>
      </c>
      <c r="C16" s="24"/>
    </row>
    <row r="17" spans="1:3">
      <c r="B17" s="18" t="s">
        <v>11</v>
      </c>
      <c r="C17" s="25">
        <v>50</v>
      </c>
    </row>
    <row r="18" spans="1:3">
      <c r="B18" s="18" t="s">
        <v>12</v>
      </c>
      <c r="C18" s="18" t="s">
        <v>15</v>
      </c>
    </row>
    <row r="19" spans="1:3">
      <c r="B19" s="18" t="s">
        <v>13</v>
      </c>
      <c r="C19" s="18" t="s">
        <v>130</v>
      </c>
    </row>
    <row r="21" spans="1:3">
      <c r="A21" s="18" t="s">
        <v>18</v>
      </c>
      <c r="B21" s="18" t="s">
        <v>9</v>
      </c>
      <c r="C21" s="24"/>
    </row>
    <row r="22" spans="1:3" ht="15.5">
      <c r="B22" s="18" t="s">
        <v>11</v>
      </c>
      <c r="C22" s="26">
        <v>6317.84</v>
      </c>
    </row>
    <row r="23" spans="1:3">
      <c r="B23" s="18" t="s">
        <v>12</v>
      </c>
      <c r="C23" s="18" t="s">
        <v>15</v>
      </c>
    </row>
    <row r="24" spans="1:3">
      <c r="B24" s="18" t="s">
        <v>13</v>
      </c>
      <c r="C24" s="18" t="s">
        <v>131</v>
      </c>
    </row>
    <row r="27" spans="1:3">
      <c r="A27" s="18" t="s">
        <v>21</v>
      </c>
      <c r="B27" s="18" t="s">
        <v>22</v>
      </c>
    </row>
    <row r="28" spans="1:3">
      <c r="B28" s="18" t="s">
        <v>23</v>
      </c>
    </row>
    <row r="29" spans="1:3">
      <c r="B29" s="18" t="s">
        <v>24</v>
      </c>
    </row>
    <row r="30" spans="1:3">
      <c r="B30" s="18" t="s">
        <v>25</v>
      </c>
    </row>
    <row r="31" spans="1:3">
      <c r="B31" s="18" t="s">
        <v>26</v>
      </c>
    </row>
    <row r="34" spans="1:3">
      <c r="A34" s="18" t="s">
        <v>20</v>
      </c>
    </row>
    <row r="35" spans="1:3">
      <c r="A35" s="18" t="s">
        <v>6</v>
      </c>
      <c r="B35" s="18" t="s">
        <v>29</v>
      </c>
    </row>
    <row r="36" spans="1:3">
      <c r="A36" s="18" t="s">
        <v>30</v>
      </c>
      <c r="B36" s="18" t="s">
        <v>132</v>
      </c>
    </row>
    <row r="37" spans="1:3">
      <c r="B37" s="27">
        <v>4630.53</v>
      </c>
      <c r="C37" s="18" t="s">
        <v>31</v>
      </c>
    </row>
    <row r="38" spans="1:3">
      <c r="A38" s="18" t="s">
        <v>14</v>
      </c>
      <c r="B38" s="18" t="s">
        <v>133</v>
      </c>
    </row>
    <row r="39" spans="1:3">
      <c r="B39" s="27">
        <v>10656.899999999998</v>
      </c>
      <c r="C39" s="18" t="s">
        <v>33</v>
      </c>
    </row>
    <row r="40" spans="1:3">
      <c r="A40" s="18" t="s">
        <v>18</v>
      </c>
      <c r="B40" s="18" t="s">
        <v>95</v>
      </c>
    </row>
    <row r="41" spans="1:3">
      <c r="B41" s="28" t="s">
        <v>103</v>
      </c>
    </row>
    <row r="43" spans="1:3">
      <c r="C43" s="28"/>
    </row>
  </sheetData>
  <pageMargins left="0.7" right="0.7" top="0.75" bottom="0.75" header="0.3" footer="0.3"/>
  <pageSetup scale="7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D998-C6B9-4D5E-BEB1-4B9F1E121F80}">
  <sheetPr>
    <pageSetUpPr fitToPage="1"/>
  </sheetPr>
  <dimension ref="A1:I43"/>
  <sheetViews>
    <sheetView topLeftCell="A27" workbookViewId="0">
      <selection activeCell="B40" sqref="B40:B41"/>
    </sheetView>
  </sheetViews>
  <sheetFormatPr defaultRowHeight="14"/>
  <cols>
    <col min="1" max="1" width="8.7265625" style="18"/>
    <col min="2" max="2" width="42.7265625" style="18" bestFit="1" customWidth="1"/>
    <col min="3" max="3" width="12.26953125" style="18" customWidth="1"/>
    <col min="4" max="5" width="8.7265625" style="18"/>
    <col min="6" max="6" width="11.7265625" style="18" bestFit="1" customWidth="1"/>
    <col min="7" max="16384" width="8.7265625" style="18"/>
  </cols>
  <sheetData>
    <row r="1" spans="1:9">
      <c r="A1" s="17" t="s">
        <v>3</v>
      </c>
      <c r="E1" s="19"/>
      <c r="F1" s="20" t="s">
        <v>57</v>
      </c>
      <c r="G1" s="21"/>
      <c r="H1" s="22"/>
      <c r="I1" s="22"/>
    </row>
    <row r="2" spans="1:9">
      <c r="A2" s="17" t="s">
        <v>4</v>
      </c>
      <c r="F2" s="20" t="s">
        <v>58</v>
      </c>
      <c r="G2" s="21"/>
      <c r="H2" s="22"/>
      <c r="I2" s="22"/>
    </row>
    <row r="4" spans="1:9">
      <c r="A4" s="18" t="s">
        <v>1</v>
      </c>
      <c r="B4" s="23">
        <v>45728</v>
      </c>
    </row>
    <row r="5" spans="1:9">
      <c r="A5" s="18" t="s">
        <v>0</v>
      </c>
      <c r="B5" s="18" t="s">
        <v>2</v>
      </c>
    </row>
    <row r="7" spans="1:9">
      <c r="A7" s="18" t="s">
        <v>5</v>
      </c>
    </row>
    <row r="9" spans="1:9">
      <c r="A9" s="18" t="s">
        <v>6</v>
      </c>
      <c r="B9" s="29" t="s">
        <v>127</v>
      </c>
    </row>
    <row r="10" spans="1:9">
      <c r="B10" s="29" t="s">
        <v>128</v>
      </c>
      <c r="C10" s="24"/>
    </row>
    <row r="11" spans="1:9">
      <c r="B11" s="18" t="s">
        <v>10</v>
      </c>
      <c r="C11" s="24"/>
      <c r="D11" s="18" t="s">
        <v>27</v>
      </c>
      <c r="E11" s="24"/>
    </row>
    <row r="13" spans="1:9">
      <c r="A13" s="18" t="s">
        <v>30</v>
      </c>
      <c r="B13" s="18" t="s">
        <v>99</v>
      </c>
    </row>
    <row r="14" spans="1:9">
      <c r="B14" s="18" t="s">
        <v>9</v>
      </c>
      <c r="C14" s="24"/>
    </row>
    <row r="16" spans="1:9">
      <c r="A16" s="18" t="s">
        <v>14</v>
      </c>
      <c r="B16" s="18" t="s">
        <v>9</v>
      </c>
      <c r="C16" s="24"/>
    </row>
    <row r="17" spans="1:3">
      <c r="B17" s="18" t="s">
        <v>11</v>
      </c>
      <c r="C17" s="25">
        <v>50</v>
      </c>
    </row>
    <row r="18" spans="1:3">
      <c r="B18" s="18" t="s">
        <v>12</v>
      </c>
      <c r="C18" s="18" t="s">
        <v>15</v>
      </c>
    </row>
    <row r="19" spans="1:3">
      <c r="B19" s="18" t="s">
        <v>13</v>
      </c>
      <c r="C19" s="18" t="s">
        <v>130</v>
      </c>
    </row>
    <row r="21" spans="1:3">
      <c r="A21" s="18" t="s">
        <v>18</v>
      </c>
      <c r="B21" s="18" t="s">
        <v>9</v>
      </c>
      <c r="C21" s="24"/>
    </row>
    <row r="22" spans="1:3" ht="15.5">
      <c r="B22" s="18" t="s">
        <v>11</v>
      </c>
      <c r="C22" s="26">
        <v>6317.84</v>
      </c>
    </row>
    <row r="23" spans="1:3">
      <c r="B23" s="18" t="s">
        <v>12</v>
      </c>
      <c r="C23" s="18" t="s">
        <v>15</v>
      </c>
    </row>
    <row r="24" spans="1:3">
      <c r="B24" s="18" t="s">
        <v>13</v>
      </c>
      <c r="C24" s="18" t="s">
        <v>131</v>
      </c>
    </row>
    <row r="27" spans="1:3">
      <c r="A27" s="18" t="s">
        <v>21</v>
      </c>
      <c r="B27" s="18" t="s">
        <v>22</v>
      </c>
    </row>
    <row r="28" spans="1:3">
      <c r="B28" s="18" t="s">
        <v>23</v>
      </c>
    </row>
    <row r="29" spans="1:3">
      <c r="B29" s="18" t="s">
        <v>24</v>
      </c>
    </row>
    <row r="30" spans="1:3">
      <c r="B30" s="18" t="s">
        <v>25</v>
      </c>
    </row>
    <row r="31" spans="1:3">
      <c r="B31" s="18" t="s">
        <v>26</v>
      </c>
    </row>
    <row r="34" spans="1:3">
      <c r="A34" s="18" t="s">
        <v>20</v>
      </c>
    </row>
    <row r="35" spans="1:3">
      <c r="A35" s="18" t="s">
        <v>6</v>
      </c>
      <c r="B35" s="18" t="s">
        <v>29</v>
      </c>
    </row>
    <row r="36" spans="1:3">
      <c r="A36" s="18" t="s">
        <v>30</v>
      </c>
      <c r="B36" s="18" t="s">
        <v>132</v>
      </c>
    </row>
    <row r="37" spans="1:3">
      <c r="B37" s="27">
        <v>4585.1499999999996</v>
      </c>
      <c r="C37" s="18" t="s">
        <v>31</v>
      </c>
    </row>
    <row r="38" spans="1:3">
      <c r="A38" s="18" t="s">
        <v>14</v>
      </c>
      <c r="B38" s="18" t="s">
        <v>133</v>
      </c>
    </row>
    <row r="39" spans="1:3">
      <c r="B39" s="27">
        <v>10599.060000000001</v>
      </c>
      <c r="C39" s="18" t="s">
        <v>33</v>
      </c>
    </row>
    <row r="40" spans="1:3">
      <c r="A40" s="18" t="s">
        <v>18</v>
      </c>
      <c r="B40" s="18" t="s">
        <v>95</v>
      </c>
    </row>
    <row r="41" spans="1:3">
      <c r="B41" s="28" t="s">
        <v>103</v>
      </c>
    </row>
    <row r="43" spans="1:3">
      <c r="C43" s="28"/>
    </row>
  </sheetData>
  <pageMargins left="0.7" right="0.7" top="0.75" bottom="0.75" header="0.3" footer="0.3"/>
  <pageSetup scale="7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240C-B4DF-4DB1-8E21-3C524CC7BCDB}">
  <sheetPr>
    <pageSetUpPr fitToPage="1"/>
  </sheetPr>
  <dimension ref="A1:I43"/>
  <sheetViews>
    <sheetView topLeftCell="A27" workbookViewId="0">
      <selection activeCell="B39" sqref="B39"/>
    </sheetView>
  </sheetViews>
  <sheetFormatPr defaultRowHeight="14"/>
  <cols>
    <col min="1" max="1" width="8.7265625" style="18"/>
    <col min="2" max="2" width="42.7265625" style="18" bestFit="1" customWidth="1"/>
    <col min="3" max="3" width="12.26953125" style="18" customWidth="1"/>
    <col min="4" max="5" width="8.7265625" style="18"/>
    <col min="6" max="6" width="11.7265625" style="18" bestFit="1" customWidth="1"/>
    <col min="7" max="16384" width="8.7265625" style="18"/>
  </cols>
  <sheetData>
    <row r="1" spans="1:9">
      <c r="A1" s="17" t="s">
        <v>3</v>
      </c>
      <c r="E1" s="19"/>
      <c r="F1" s="20" t="s">
        <v>57</v>
      </c>
      <c r="G1" s="21"/>
      <c r="H1" s="22"/>
      <c r="I1" s="22"/>
    </row>
    <row r="2" spans="1:9">
      <c r="A2" s="17" t="s">
        <v>4</v>
      </c>
      <c r="F2" s="20" t="s">
        <v>58</v>
      </c>
      <c r="G2" s="21"/>
      <c r="H2" s="22"/>
      <c r="I2" s="22"/>
    </row>
    <row r="3" spans="1:9">
      <c r="A3" s="18" t="s">
        <v>129</v>
      </c>
    </row>
    <row r="4" spans="1:9">
      <c r="A4" s="18" t="s">
        <v>1</v>
      </c>
      <c r="B4" s="23">
        <v>45715</v>
      </c>
    </row>
    <row r="5" spans="1:9">
      <c r="A5" s="18" t="s">
        <v>0</v>
      </c>
      <c r="B5" s="18" t="s">
        <v>2</v>
      </c>
    </row>
    <row r="7" spans="1:9">
      <c r="A7" s="18" t="s">
        <v>5</v>
      </c>
    </row>
    <row r="9" spans="1:9">
      <c r="A9" s="18" t="s">
        <v>6</v>
      </c>
      <c r="B9" s="29" t="s">
        <v>127</v>
      </c>
    </row>
    <row r="10" spans="1:9">
      <c r="B10" s="29" t="s">
        <v>128</v>
      </c>
      <c r="C10" s="24"/>
    </row>
    <row r="11" spans="1:9">
      <c r="B11" s="18" t="s">
        <v>10</v>
      </c>
      <c r="C11" s="24"/>
      <c r="D11" s="18" t="s">
        <v>27</v>
      </c>
      <c r="E11" s="24"/>
    </row>
    <row r="13" spans="1:9">
      <c r="A13" s="18" t="s">
        <v>30</v>
      </c>
      <c r="B13" s="18" t="s">
        <v>99</v>
      </c>
    </row>
    <row r="14" spans="1:9">
      <c r="B14" s="18" t="s">
        <v>9</v>
      </c>
      <c r="C14" s="24"/>
    </row>
    <row r="16" spans="1:9">
      <c r="A16" s="18" t="s">
        <v>14</v>
      </c>
      <c r="B16" s="18" t="s">
        <v>9</v>
      </c>
      <c r="C16" s="24"/>
    </row>
    <row r="17" spans="1:3">
      <c r="B17" s="18" t="s">
        <v>11</v>
      </c>
      <c r="C17" s="25">
        <v>50</v>
      </c>
    </row>
    <row r="18" spans="1:3">
      <c r="B18" s="18" t="s">
        <v>12</v>
      </c>
      <c r="C18" s="18" t="s">
        <v>15</v>
      </c>
    </row>
    <row r="19" spans="1:3">
      <c r="B19" s="18" t="s">
        <v>13</v>
      </c>
      <c r="C19" s="18" t="s">
        <v>123</v>
      </c>
    </row>
    <row r="21" spans="1:3">
      <c r="A21" s="18" t="s">
        <v>18</v>
      </c>
      <c r="B21" s="18" t="s">
        <v>9</v>
      </c>
      <c r="C21" s="24"/>
    </row>
    <row r="22" spans="1:3" ht="15.5">
      <c r="B22" s="18" t="s">
        <v>11</v>
      </c>
      <c r="C22" s="26">
        <v>6853.36</v>
      </c>
    </row>
    <row r="23" spans="1:3">
      <c r="B23" s="18" t="s">
        <v>12</v>
      </c>
      <c r="C23" s="18" t="s">
        <v>15</v>
      </c>
    </row>
    <row r="24" spans="1:3">
      <c r="B24" s="18" t="s">
        <v>13</v>
      </c>
      <c r="C24" s="18" t="s">
        <v>124</v>
      </c>
    </row>
    <row r="27" spans="1:3">
      <c r="A27" s="18" t="s">
        <v>21</v>
      </c>
      <c r="B27" s="18" t="s">
        <v>22</v>
      </c>
    </row>
    <row r="28" spans="1:3">
      <c r="B28" s="18" t="s">
        <v>23</v>
      </c>
    </row>
    <row r="29" spans="1:3">
      <c r="B29" s="18" t="s">
        <v>24</v>
      </c>
    </row>
    <row r="30" spans="1:3">
      <c r="B30" s="18" t="s">
        <v>25</v>
      </c>
    </row>
    <row r="31" spans="1:3">
      <c r="B31" s="18" t="s">
        <v>26</v>
      </c>
    </row>
    <row r="34" spans="1:3">
      <c r="A34" s="18" t="s">
        <v>20</v>
      </c>
    </row>
    <row r="35" spans="1:3">
      <c r="A35" s="18" t="s">
        <v>6</v>
      </c>
      <c r="B35" s="18" t="s">
        <v>29</v>
      </c>
    </row>
    <row r="36" spans="1:3">
      <c r="A36" s="18" t="s">
        <v>30</v>
      </c>
      <c r="B36" s="18" t="s">
        <v>125</v>
      </c>
    </row>
    <row r="37" spans="1:3">
      <c r="B37" s="27">
        <v>4713.8200000000006</v>
      </c>
      <c r="C37" s="18" t="s">
        <v>31</v>
      </c>
    </row>
    <row r="38" spans="1:3">
      <c r="A38" s="18" t="s">
        <v>14</v>
      </c>
      <c r="B38" s="18" t="s">
        <v>126</v>
      </c>
    </row>
    <row r="39" spans="1:3">
      <c r="B39" s="30">
        <v>11075.179999999998</v>
      </c>
      <c r="C39" s="18" t="s">
        <v>33</v>
      </c>
    </row>
    <row r="40" spans="1:3">
      <c r="A40" s="18" t="s">
        <v>18</v>
      </c>
      <c r="B40" s="18" t="s">
        <v>95</v>
      </c>
    </row>
    <row r="41" spans="1:3">
      <c r="B41" s="28" t="s">
        <v>103</v>
      </c>
    </row>
    <row r="43" spans="1:3">
      <c r="C43" s="28"/>
    </row>
  </sheetData>
  <pageMargins left="0.7" right="0.7" top="0.75" bottom="0.75" header="0.3" footer="0.3"/>
  <pageSetup scale="7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3428-53C5-4C18-B9BF-FB20E16B353F}">
  <sheetPr>
    <pageSetUpPr fitToPage="1"/>
  </sheetPr>
  <dimension ref="A1:I43"/>
  <sheetViews>
    <sheetView topLeftCell="A30" workbookViewId="0">
      <selection activeCell="B39" sqref="B39"/>
    </sheetView>
  </sheetViews>
  <sheetFormatPr defaultRowHeight="14"/>
  <cols>
    <col min="1" max="1" width="8.7265625" style="18"/>
    <col min="2" max="2" width="42.7265625" style="18" bestFit="1" customWidth="1"/>
    <col min="3" max="3" width="12.26953125" style="18" customWidth="1"/>
    <col min="4" max="5" width="8.7265625" style="18"/>
    <col min="6" max="6" width="11.7265625" style="18" bestFit="1" customWidth="1"/>
    <col min="7" max="16384" width="8.7265625" style="18"/>
  </cols>
  <sheetData>
    <row r="1" spans="1:9">
      <c r="A1" s="17" t="s">
        <v>3</v>
      </c>
      <c r="E1" s="19"/>
      <c r="F1" s="20" t="s">
        <v>57</v>
      </c>
      <c r="G1" s="21"/>
      <c r="H1" s="22"/>
      <c r="I1" s="22"/>
    </row>
    <row r="2" spans="1:9">
      <c r="A2" s="17" t="s">
        <v>4</v>
      </c>
      <c r="F2" s="20" t="s">
        <v>58</v>
      </c>
      <c r="G2" s="21"/>
      <c r="H2" s="22"/>
      <c r="I2" s="22"/>
    </row>
    <row r="4" spans="1:9">
      <c r="A4" s="18" t="s">
        <v>1</v>
      </c>
      <c r="B4" s="23">
        <v>45715</v>
      </c>
    </row>
    <row r="5" spans="1:9">
      <c r="A5" s="18" t="s">
        <v>0</v>
      </c>
      <c r="B5" s="18" t="s">
        <v>2</v>
      </c>
    </row>
    <row r="7" spans="1:9">
      <c r="A7" s="18" t="s">
        <v>5</v>
      </c>
    </row>
    <row r="9" spans="1:9">
      <c r="A9" s="18" t="s">
        <v>6</v>
      </c>
      <c r="B9" s="29" t="s">
        <v>127</v>
      </c>
    </row>
    <row r="10" spans="1:9">
      <c r="B10" s="29" t="s">
        <v>128</v>
      </c>
      <c r="C10" s="24"/>
    </row>
    <row r="11" spans="1:9">
      <c r="B11" s="18" t="s">
        <v>10</v>
      </c>
      <c r="C11" s="24"/>
      <c r="D11" s="18" t="s">
        <v>27</v>
      </c>
      <c r="E11" s="24"/>
    </row>
    <row r="13" spans="1:9">
      <c r="A13" s="18" t="s">
        <v>30</v>
      </c>
      <c r="B13" s="18" t="s">
        <v>99</v>
      </c>
    </row>
    <row r="14" spans="1:9">
      <c r="B14" s="18" t="s">
        <v>9</v>
      </c>
      <c r="C14" s="24"/>
    </row>
    <row r="16" spans="1:9">
      <c r="A16" s="18" t="s">
        <v>14</v>
      </c>
      <c r="B16" s="18" t="s">
        <v>9</v>
      </c>
      <c r="C16" s="24"/>
    </row>
    <row r="17" spans="1:3">
      <c r="B17" s="18" t="s">
        <v>11</v>
      </c>
      <c r="C17" s="25">
        <v>50</v>
      </c>
    </row>
    <row r="18" spans="1:3">
      <c r="B18" s="18" t="s">
        <v>12</v>
      </c>
      <c r="C18" s="18" t="s">
        <v>15</v>
      </c>
    </row>
    <row r="19" spans="1:3">
      <c r="B19" s="18" t="s">
        <v>13</v>
      </c>
      <c r="C19" s="18" t="s">
        <v>123</v>
      </c>
    </row>
    <row r="21" spans="1:3">
      <c r="A21" s="18" t="s">
        <v>18</v>
      </c>
      <c r="B21" s="18" t="s">
        <v>9</v>
      </c>
      <c r="C21" s="24"/>
    </row>
    <row r="22" spans="1:3" ht="15.5">
      <c r="B22" s="18" t="s">
        <v>11</v>
      </c>
      <c r="C22" s="26">
        <v>6853.36</v>
      </c>
    </row>
    <row r="23" spans="1:3">
      <c r="B23" s="18" t="s">
        <v>12</v>
      </c>
      <c r="C23" s="18" t="s">
        <v>15</v>
      </c>
    </row>
    <row r="24" spans="1:3">
      <c r="B24" s="18" t="s">
        <v>13</v>
      </c>
      <c r="C24" s="18" t="s">
        <v>124</v>
      </c>
    </row>
    <row r="27" spans="1:3">
      <c r="A27" s="18" t="s">
        <v>21</v>
      </c>
      <c r="B27" s="18" t="s">
        <v>22</v>
      </c>
    </row>
    <row r="28" spans="1:3">
      <c r="B28" s="18" t="s">
        <v>23</v>
      </c>
    </row>
    <row r="29" spans="1:3">
      <c r="B29" s="18" t="s">
        <v>24</v>
      </c>
    </row>
    <row r="30" spans="1:3">
      <c r="B30" s="18" t="s">
        <v>25</v>
      </c>
    </row>
    <row r="31" spans="1:3">
      <c r="B31" s="18" t="s">
        <v>26</v>
      </c>
    </row>
    <row r="34" spans="1:3">
      <c r="A34" s="18" t="s">
        <v>20</v>
      </c>
    </row>
    <row r="35" spans="1:3">
      <c r="A35" s="18" t="s">
        <v>6</v>
      </c>
      <c r="B35" s="18" t="s">
        <v>29</v>
      </c>
    </row>
    <row r="36" spans="1:3">
      <c r="A36" s="18" t="s">
        <v>30</v>
      </c>
      <c r="B36" s="18" t="s">
        <v>125</v>
      </c>
    </row>
    <row r="37" spans="1:3">
      <c r="B37" s="27">
        <v>4713.8200000000006</v>
      </c>
      <c r="C37" s="18" t="s">
        <v>31</v>
      </c>
    </row>
    <row r="38" spans="1:3">
      <c r="A38" s="18" t="s">
        <v>14</v>
      </c>
      <c r="B38" s="18" t="s">
        <v>126</v>
      </c>
    </row>
    <row r="39" spans="1:3">
      <c r="B39" s="27">
        <v>11064.880000000001</v>
      </c>
      <c r="C39" s="18" t="s">
        <v>33</v>
      </c>
    </row>
    <row r="40" spans="1:3">
      <c r="A40" s="18" t="s">
        <v>18</v>
      </c>
      <c r="B40" s="18" t="s">
        <v>95</v>
      </c>
    </row>
    <row r="41" spans="1:3">
      <c r="B41" s="28" t="s">
        <v>103</v>
      </c>
    </row>
    <row r="43" spans="1:3">
      <c r="C43" s="28"/>
    </row>
  </sheetData>
  <pageMargins left="0.7" right="0.7" top="0.75" bottom="0.75" header="0.3" footer="0.3"/>
  <pageSetup scale="7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06C9-9677-434B-901A-1A2CFC1E979B}">
  <sheetPr>
    <pageSetUpPr fitToPage="1"/>
  </sheetPr>
  <dimension ref="A1:I42"/>
  <sheetViews>
    <sheetView topLeftCell="A27" workbookViewId="0">
      <selection activeCell="B38" sqref="B38"/>
    </sheetView>
  </sheetViews>
  <sheetFormatPr defaultRowHeight="14"/>
  <cols>
    <col min="1" max="1" width="8.7265625" style="18"/>
    <col min="2" max="2" width="42.7265625" style="18" bestFit="1" customWidth="1"/>
    <col min="3" max="3" width="12.26953125" style="18" customWidth="1"/>
    <col min="4" max="5" width="8.7265625" style="18"/>
    <col min="6" max="6" width="11.7265625" style="18" bestFit="1" customWidth="1"/>
    <col min="7" max="16384" width="8.7265625" style="18"/>
  </cols>
  <sheetData>
    <row r="1" spans="1:9">
      <c r="A1" s="17" t="s">
        <v>3</v>
      </c>
      <c r="E1" s="19"/>
      <c r="F1" s="20" t="s">
        <v>57</v>
      </c>
      <c r="G1" s="21"/>
      <c r="H1" s="22"/>
      <c r="I1" s="22"/>
    </row>
    <row r="2" spans="1:9">
      <c r="A2" s="17" t="s">
        <v>4</v>
      </c>
      <c r="F2" s="20" t="s">
        <v>58</v>
      </c>
      <c r="G2" s="21"/>
      <c r="H2" s="22"/>
      <c r="I2" s="22"/>
    </row>
    <row r="4" spans="1:9">
      <c r="A4" s="18" t="s">
        <v>1</v>
      </c>
      <c r="B4" s="23">
        <v>45700</v>
      </c>
    </row>
    <row r="5" spans="1:9">
      <c r="A5" s="18" t="s">
        <v>0</v>
      </c>
      <c r="B5" s="18" t="s">
        <v>2</v>
      </c>
    </row>
    <row r="7" spans="1:9">
      <c r="A7" s="18" t="s">
        <v>5</v>
      </c>
    </row>
    <row r="9" spans="1:9">
      <c r="A9" s="18" t="s">
        <v>6</v>
      </c>
      <c r="B9" s="18" t="s">
        <v>108</v>
      </c>
    </row>
    <row r="10" spans="1:9">
      <c r="B10" s="18" t="s">
        <v>10</v>
      </c>
      <c r="C10" s="24"/>
      <c r="D10" s="18" t="s">
        <v>27</v>
      </c>
      <c r="E10" s="24"/>
    </row>
    <row r="12" spans="1:9">
      <c r="A12" s="18" t="s">
        <v>30</v>
      </c>
      <c r="B12" s="18" t="s">
        <v>99</v>
      </c>
    </row>
    <row r="13" spans="1:9">
      <c r="B13" s="18" t="s">
        <v>9</v>
      </c>
      <c r="C13" s="24"/>
    </row>
    <row r="15" spans="1:9">
      <c r="A15" s="18" t="s">
        <v>14</v>
      </c>
      <c r="B15" s="18" t="s">
        <v>9</v>
      </c>
      <c r="C15" s="24"/>
    </row>
    <row r="16" spans="1:9">
      <c r="B16" s="18" t="s">
        <v>11</v>
      </c>
      <c r="C16" s="25">
        <v>50</v>
      </c>
    </row>
    <row r="17" spans="1:3">
      <c r="B17" s="18" t="s">
        <v>12</v>
      </c>
      <c r="C17" s="18" t="s">
        <v>15</v>
      </c>
    </row>
    <row r="18" spans="1:3">
      <c r="B18" s="18" t="s">
        <v>13</v>
      </c>
      <c r="C18" s="18" t="s">
        <v>119</v>
      </c>
    </row>
    <row r="20" spans="1:3">
      <c r="A20" s="18" t="s">
        <v>18</v>
      </c>
      <c r="B20" s="18" t="s">
        <v>9</v>
      </c>
      <c r="C20" s="24"/>
    </row>
    <row r="21" spans="1:3" ht="15.5">
      <c r="B21" s="18" t="s">
        <v>11</v>
      </c>
      <c r="C21" s="26">
        <v>6433.3</v>
      </c>
    </row>
    <row r="22" spans="1:3">
      <c r="B22" s="18" t="s">
        <v>12</v>
      </c>
      <c r="C22" s="18" t="s">
        <v>15</v>
      </c>
    </row>
    <row r="23" spans="1:3">
      <c r="B23" s="18" t="s">
        <v>13</v>
      </c>
      <c r="C23" s="18" t="s">
        <v>120</v>
      </c>
    </row>
    <row r="26" spans="1:3">
      <c r="A26" s="18" t="s">
        <v>21</v>
      </c>
      <c r="B26" s="18" t="s">
        <v>22</v>
      </c>
    </row>
    <row r="27" spans="1:3">
      <c r="B27" s="18" t="s">
        <v>23</v>
      </c>
    </row>
    <row r="28" spans="1:3">
      <c r="B28" s="18" t="s">
        <v>24</v>
      </c>
    </row>
    <row r="29" spans="1:3">
      <c r="B29" s="18" t="s">
        <v>25</v>
      </c>
    </row>
    <row r="30" spans="1:3">
      <c r="B30" s="18" t="s">
        <v>26</v>
      </c>
    </row>
    <row r="33" spans="1:3">
      <c r="A33" s="18" t="s">
        <v>20</v>
      </c>
    </row>
    <row r="34" spans="1:3">
      <c r="A34" s="18" t="s">
        <v>6</v>
      </c>
      <c r="B34" s="18" t="s">
        <v>29</v>
      </c>
    </row>
    <row r="35" spans="1:3">
      <c r="A35" s="18" t="s">
        <v>30</v>
      </c>
      <c r="B35" s="18" t="s">
        <v>122</v>
      </c>
    </row>
    <row r="36" spans="1:3">
      <c r="B36" s="27">
        <v>4705.9800000000005</v>
      </c>
      <c r="C36" s="18" t="s">
        <v>31</v>
      </c>
    </row>
    <row r="37" spans="1:3">
      <c r="A37" s="18" t="s">
        <v>14</v>
      </c>
      <c r="B37" s="18" t="s">
        <v>121</v>
      </c>
    </row>
    <row r="38" spans="1:3">
      <c r="B38" s="27">
        <v>10600.960000000001</v>
      </c>
      <c r="C38" s="18" t="s">
        <v>33</v>
      </c>
    </row>
    <row r="39" spans="1:3">
      <c r="A39" s="18" t="s">
        <v>18</v>
      </c>
      <c r="B39" s="18" t="s">
        <v>95</v>
      </c>
    </row>
    <row r="40" spans="1:3">
      <c r="B40" s="28" t="s">
        <v>103</v>
      </c>
    </row>
    <row r="42" spans="1:3">
      <c r="C42" s="28"/>
    </row>
  </sheetData>
  <pageMargins left="0.7" right="0.7" top="0.75" bottom="0.75" header="0.3" footer="0.3"/>
  <pageSetup scale="7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CB6A-8D64-468C-AB87-93E5ADF5A985}">
  <sheetPr>
    <pageSetUpPr fitToPage="1"/>
  </sheetPr>
  <dimension ref="A1:I42"/>
  <sheetViews>
    <sheetView workbookViewId="0">
      <selection activeCell="B38" sqref="B38"/>
    </sheetView>
  </sheetViews>
  <sheetFormatPr defaultRowHeight="14.5"/>
  <cols>
    <col min="2" max="2" width="42.7265625" bestFit="1" customWidth="1"/>
    <col min="3" max="3" width="12.26953125" customWidth="1"/>
    <col min="6" max="6" width="11.7265625" bestFit="1" customWidth="1"/>
  </cols>
  <sheetData>
    <row r="1" spans="1:9">
      <c r="A1" s="8" t="s">
        <v>3</v>
      </c>
      <c r="E1" s="9"/>
      <c r="F1" s="14" t="s">
        <v>57</v>
      </c>
      <c r="G1" s="12"/>
      <c r="H1" s="13"/>
      <c r="I1" s="13"/>
    </row>
    <row r="2" spans="1:9">
      <c r="A2" s="8" t="s">
        <v>4</v>
      </c>
      <c r="F2" s="14" t="s">
        <v>58</v>
      </c>
      <c r="G2" s="12"/>
      <c r="H2" s="13"/>
      <c r="I2" s="13"/>
    </row>
    <row r="4" spans="1:9">
      <c r="A4" t="s">
        <v>1</v>
      </c>
      <c r="B4" s="1">
        <v>45686</v>
      </c>
    </row>
    <row r="5" spans="1:9">
      <c r="A5" t="s">
        <v>0</v>
      </c>
      <c r="B5" t="s">
        <v>2</v>
      </c>
    </row>
    <row r="7" spans="1:9">
      <c r="A7" t="s">
        <v>5</v>
      </c>
    </row>
    <row r="9" spans="1:9">
      <c r="A9" t="s">
        <v>6</v>
      </c>
      <c r="B9" t="s">
        <v>109</v>
      </c>
    </row>
    <row r="10" spans="1:9">
      <c r="B10" t="s">
        <v>10</v>
      </c>
      <c r="C10" s="4"/>
      <c r="D10" t="s">
        <v>27</v>
      </c>
      <c r="E10" s="4"/>
    </row>
    <row r="12" spans="1:9">
      <c r="A12" t="s">
        <v>30</v>
      </c>
      <c r="B12" t="s">
        <v>99</v>
      </c>
    </row>
    <row r="13" spans="1:9">
      <c r="B13" t="s">
        <v>9</v>
      </c>
      <c r="C13" s="4"/>
    </row>
    <row r="15" spans="1:9">
      <c r="A15" t="s">
        <v>14</v>
      </c>
      <c r="B15" t="s">
        <v>9</v>
      </c>
      <c r="C15" s="4"/>
    </row>
    <row r="16" spans="1:9">
      <c r="B16" t="s">
        <v>11</v>
      </c>
      <c r="C16" s="2">
        <v>50</v>
      </c>
    </row>
    <row r="17" spans="1:3">
      <c r="B17" t="s">
        <v>12</v>
      </c>
      <c r="C17" t="s">
        <v>15</v>
      </c>
    </row>
    <row r="18" spans="1:3">
      <c r="B18" t="s">
        <v>13</v>
      </c>
      <c r="C18" t="s">
        <v>114</v>
      </c>
    </row>
    <row r="20" spans="1:3">
      <c r="A20" t="s">
        <v>18</v>
      </c>
      <c r="B20" t="s">
        <v>9</v>
      </c>
      <c r="C20" s="4"/>
    </row>
    <row r="21" spans="1:3" ht="15.5">
      <c r="B21" t="s">
        <v>11</v>
      </c>
      <c r="C21" s="15" t="s">
        <v>118</v>
      </c>
    </row>
    <row r="22" spans="1:3">
      <c r="B22" t="s">
        <v>12</v>
      </c>
      <c r="C22" t="s">
        <v>15</v>
      </c>
    </row>
    <row r="23" spans="1:3">
      <c r="B23" t="s">
        <v>13</v>
      </c>
      <c r="C23" t="s">
        <v>115</v>
      </c>
    </row>
    <row r="26" spans="1:3">
      <c r="A26" t="s">
        <v>21</v>
      </c>
      <c r="B26" t="s">
        <v>22</v>
      </c>
    </row>
    <row r="27" spans="1:3">
      <c r="B27" t="s">
        <v>23</v>
      </c>
    </row>
    <row r="28" spans="1:3">
      <c r="B28" t="s">
        <v>24</v>
      </c>
    </row>
    <row r="29" spans="1:3">
      <c r="B29" t="s">
        <v>25</v>
      </c>
    </row>
    <row r="30" spans="1:3">
      <c r="B30" t="s">
        <v>26</v>
      </c>
    </row>
    <row r="33" spans="1:3">
      <c r="A33" t="s">
        <v>20</v>
      </c>
    </row>
    <row r="34" spans="1:3">
      <c r="A34" t="s">
        <v>6</v>
      </c>
      <c r="B34" t="s">
        <v>29</v>
      </c>
    </row>
    <row r="35" spans="1:3">
      <c r="A35" t="s">
        <v>30</v>
      </c>
      <c r="B35" t="s">
        <v>116</v>
      </c>
    </row>
    <row r="36" spans="1:3">
      <c r="B36" s="16">
        <v>4592.66</v>
      </c>
      <c r="C36" t="s">
        <v>31</v>
      </c>
    </row>
    <row r="37" spans="1:3">
      <c r="A37" t="s">
        <v>14</v>
      </c>
      <c r="B37" t="s">
        <v>117</v>
      </c>
    </row>
    <row r="38" spans="1:3">
      <c r="B38" s="16">
        <v>9997.4600000000009</v>
      </c>
      <c r="C38" t="s">
        <v>33</v>
      </c>
    </row>
    <row r="39" spans="1:3">
      <c r="A39" t="s">
        <v>18</v>
      </c>
      <c r="B39" t="s">
        <v>95</v>
      </c>
    </row>
    <row r="40" spans="1:3">
      <c r="B40" s="3" t="s">
        <v>103</v>
      </c>
    </row>
    <row r="42" spans="1:3">
      <c r="C42" s="3"/>
    </row>
  </sheetData>
  <pageMargins left="0.7" right="0.7" top="0.75" bottom="0.75" header="0.3" footer="0.3"/>
  <pageSetup scale="1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AA95-7B4A-40B4-B7B0-C90B638CABE4}">
  <sheetPr>
    <pageSetUpPr fitToPage="1"/>
  </sheetPr>
  <dimension ref="A1:I42"/>
  <sheetViews>
    <sheetView topLeftCell="A4" workbookViewId="0">
      <selection activeCell="B38" sqref="B38"/>
    </sheetView>
  </sheetViews>
  <sheetFormatPr defaultRowHeight="14.5"/>
  <cols>
    <col min="2" max="2" width="42.7265625" bestFit="1" customWidth="1"/>
    <col min="3" max="3" width="12.26953125" customWidth="1"/>
    <col min="6" max="6" width="11.7265625" bestFit="1" customWidth="1"/>
  </cols>
  <sheetData>
    <row r="1" spans="1:9">
      <c r="A1" s="8" t="s">
        <v>3</v>
      </c>
      <c r="E1" s="9"/>
      <c r="F1" s="14" t="s">
        <v>57</v>
      </c>
      <c r="G1" s="12"/>
      <c r="H1" s="13"/>
      <c r="I1" s="13"/>
    </row>
    <row r="2" spans="1:9">
      <c r="A2" s="8" t="s">
        <v>4</v>
      </c>
      <c r="F2" s="14" t="s">
        <v>58</v>
      </c>
      <c r="G2" s="12"/>
      <c r="H2" s="13"/>
      <c r="I2" s="13"/>
    </row>
    <row r="4" spans="1:9">
      <c r="A4" t="s">
        <v>1</v>
      </c>
      <c r="B4" s="1">
        <v>45672</v>
      </c>
    </row>
    <row r="5" spans="1:9">
      <c r="A5" t="s">
        <v>0</v>
      </c>
      <c r="B5" t="s">
        <v>2</v>
      </c>
    </row>
    <row r="7" spans="1:9">
      <c r="A7" t="s">
        <v>5</v>
      </c>
    </row>
    <row r="9" spans="1:9">
      <c r="A9" t="s">
        <v>6</v>
      </c>
      <c r="B9" t="s">
        <v>109</v>
      </c>
    </row>
    <row r="10" spans="1:9">
      <c r="B10" t="s">
        <v>10</v>
      </c>
      <c r="C10" s="4"/>
      <c r="D10" t="s">
        <v>27</v>
      </c>
      <c r="E10" s="4"/>
    </row>
    <row r="12" spans="1:9">
      <c r="A12" t="s">
        <v>30</v>
      </c>
      <c r="B12" t="s">
        <v>99</v>
      </c>
    </row>
    <row r="13" spans="1:9">
      <c r="B13" t="s">
        <v>9</v>
      </c>
      <c r="C13" s="4"/>
    </row>
    <row r="15" spans="1:9">
      <c r="A15" t="s">
        <v>14</v>
      </c>
      <c r="B15" t="s">
        <v>9</v>
      </c>
      <c r="C15" s="4"/>
    </row>
    <row r="16" spans="1:9">
      <c r="B16" t="s">
        <v>11</v>
      </c>
      <c r="C16" s="2">
        <v>50</v>
      </c>
    </row>
    <row r="17" spans="1:3">
      <c r="B17" t="s">
        <v>12</v>
      </c>
      <c r="C17" t="s">
        <v>15</v>
      </c>
    </row>
    <row r="18" spans="1:3">
      <c r="B18" t="s">
        <v>13</v>
      </c>
      <c r="C18" t="s">
        <v>110</v>
      </c>
    </row>
    <row r="20" spans="1:3">
      <c r="A20" t="s">
        <v>18</v>
      </c>
      <c r="B20" t="s">
        <v>9</v>
      </c>
      <c r="C20" s="4"/>
    </row>
    <row r="21" spans="1:3" ht="15.5">
      <c r="B21" t="s">
        <v>11</v>
      </c>
      <c r="C21" s="15">
        <v>6032.57</v>
      </c>
    </row>
    <row r="22" spans="1:3">
      <c r="B22" t="s">
        <v>12</v>
      </c>
      <c r="C22" t="s">
        <v>15</v>
      </c>
    </row>
    <row r="23" spans="1:3">
      <c r="B23" t="s">
        <v>13</v>
      </c>
      <c r="C23" t="s">
        <v>111</v>
      </c>
    </row>
    <row r="26" spans="1:3">
      <c r="A26" t="s">
        <v>21</v>
      </c>
      <c r="B26" t="s">
        <v>22</v>
      </c>
    </row>
    <row r="27" spans="1:3">
      <c r="B27" t="s">
        <v>23</v>
      </c>
    </row>
    <row r="28" spans="1:3">
      <c r="B28" t="s">
        <v>24</v>
      </c>
    </row>
    <row r="29" spans="1:3">
      <c r="B29" t="s">
        <v>25</v>
      </c>
    </row>
    <row r="30" spans="1:3">
      <c r="B30" t="s">
        <v>26</v>
      </c>
    </row>
    <row r="33" spans="1:3">
      <c r="A33" t="s">
        <v>20</v>
      </c>
    </row>
    <row r="34" spans="1:3">
      <c r="A34" t="s">
        <v>6</v>
      </c>
      <c r="B34" t="s">
        <v>29</v>
      </c>
    </row>
    <row r="35" spans="1:3">
      <c r="A35" t="s">
        <v>30</v>
      </c>
      <c r="B35" t="s">
        <v>112</v>
      </c>
    </row>
    <row r="36" spans="1:3">
      <c r="B36" s="16">
        <v>4699.32</v>
      </c>
      <c r="C36" t="s">
        <v>31</v>
      </c>
    </row>
    <row r="37" spans="1:3">
      <c r="A37" t="s">
        <v>14</v>
      </c>
      <c r="B37" t="s">
        <v>113</v>
      </c>
    </row>
    <row r="38" spans="1:3">
      <c r="B38" s="16">
        <v>10138.219999999999</v>
      </c>
      <c r="C38" t="s">
        <v>33</v>
      </c>
    </row>
    <row r="39" spans="1:3">
      <c r="A39" t="s">
        <v>18</v>
      </c>
      <c r="B39" t="s">
        <v>95</v>
      </c>
    </row>
    <row r="40" spans="1:3">
      <c r="B40" s="3" t="s">
        <v>103</v>
      </c>
    </row>
    <row r="42" spans="1:3">
      <c r="C42" s="3"/>
    </row>
  </sheetData>
  <pageMargins left="0.7" right="0.7" top="0.75" bottom="0.75" header="0.3" footer="0.3"/>
  <pageSetup scale="1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B3A6-928D-4C5B-8E9E-E1DC74CA4603}">
  <sheetPr>
    <pageSetUpPr fitToPage="1"/>
  </sheetPr>
  <dimension ref="A1:I42"/>
  <sheetViews>
    <sheetView workbookViewId="0">
      <selection activeCell="C38" sqref="C38"/>
    </sheetView>
  </sheetViews>
  <sheetFormatPr defaultRowHeight="14.5"/>
  <cols>
    <col min="2" max="2" width="42.7265625" bestFit="1" customWidth="1"/>
    <col min="3" max="3" width="12.26953125" customWidth="1"/>
    <col min="6" max="6" width="11.7265625" bestFit="1" customWidth="1"/>
  </cols>
  <sheetData>
    <row r="1" spans="1:9">
      <c r="A1" s="8" t="s">
        <v>3</v>
      </c>
      <c r="E1" s="9"/>
      <c r="F1" s="14" t="s">
        <v>57</v>
      </c>
      <c r="G1" s="12"/>
      <c r="H1" s="13"/>
      <c r="I1" s="13"/>
    </row>
    <row r="2" spans="1:9">
      <c r="A2" s="8" t="s">
        <v>4</v>
      </c>
      <c r="F2" s="14" t="s">
        <v>58</v>
      </c>
      <c r="G2" s="12"/>
      <c r="H2" s="13"/>
      <c r="I2" s="13"/>
    </row>
    <row r="4" spans="1:9">
      <c r="A4" t="s">
        <v>1</v>
      </c>
      <c r="B4" s="1">
        <v>45658</v>
      </c>
    </row>
    <row r="5" spans="1:9">
      <c r="A5" t="s">
        <v>0</v>
      </c>
      <c r="B5" t="s">
        <v>2</v>
      </c>
    </row>
    <row r="7" spans="1:9">
      <c r="A7" t="s">
        <v>5</v>
      </c>
    </row>
    <row r="9" spans="1:9">
      <c r="A9" t="s">
        <v>6</v>
      </c>
      <c r="B9" t="s">
        <v>108</v>
      </c>
    </row>
    <row r="10" spans="1:9">
      <c r="B10" t="s">
        <v>10</v>
      </c>
      <c r="C10" s="4"/>
      <c r="D10" t="s">
        <v>27</v>
      </c>
      <c r="E10" s="4"/>
    </row>
    <row r="12" spans="1:9">
      <c r="A12" t="s">
        <v>30</v>
      </c>
      <c r="B12" t="s">
        <v>99</v>
      </c>
    </row>
    <row r="13" spans="1:9">
      <c r="B13" t="s">
        <v>9</v>
      </c>
      <c r="C13" s="4"/>
    </row>
    <row r="15" spans="1:9">
      <c r="A15" t="s">
        <v>14</v>
      </c>
      <c r="B15" t="s">
        <v>9</v>
      </c>
      <c r="C15" s="4"/>
    </row>
    <row r="16" spans="1:9">
      <c r="B16" t="s">
        <v>11</v>
      </c>
      <c r="C16" s="2">
        <v>50</v>
      </c>
    </row>
    <row r="17" spans="1:3">
      <c r="B17" t="s">
        <v>12</v>
      </c>
      <c r="C17" t="s">
        <v>15</v>
      </c>
    </row>
    <row r="18" spans="1:3">
      <c r="B18" t="s">
        <v>13</v>
      </c>
      <c r="C18" t="s">
        <v>104</v>
      </c>
    </row>
    <row r="20" spans="1:3">
      <c r="A20" t="s">
        <v>18</v>
      </c>
      <c r="B20" t="s">
        <v>9</v>
      </c>
      <c r="C20" s="4"/>
    </row>
    <row r="21" spans="1:3" ht="15.5">
      <c r="B21" t="s">
        <v>11</v>
      </c>
      <c r="C21" s="15">
        <v>5402.62</v>
      </c>
    </row>
    <row r="22" spans="1:3">
      <c r="B22" t="s">
        <v>12</v>
      </c>
      <c r="C22" t="s">
        <v>15</v>
      </c>
    </row>
    <row r="23" spans="1:3">
      <c r="B23" t="s">
        <v>13</v>
      </c>
      <c r="C23" t="s">
        <v>105</v>
      </c>
    </row>
    <row r="26" spans="1:3">
      <c r="A26" t="s">
        <v>21</v>
      </c>
      <c r="B26" t="s">
        <v>22</v>
      </c>
    </row>
    <row r="27" spans="1:3">
      <c r="B27" t="s">
        <v>23</v>
      </c>
    </row>
    <row r="28" spans="1:3">
      <c r="B28" t="s">
        <v>24</v>
      </c>
    </row>
    <row r="29" spans="1:3">
      <c r="B29" t="s">
        <v>25</v>
      </c>
    </row>
    <row r="30" spans="1:3">
      <c r="B30" t="s">
        <v>26</v>
      </c>
    </row>
    <row r="33" spans="1:4">
      <c r="A33" t="s">
        <v>20</v>
      </c>
    </row>
    <row r="34" spans="1:4">
      <c r="B34" t="s">
        <v>6</v>
      </c>
      <c r="C34" t="s">
        <v>29</v>
      </c>
    </row>
    <row r="35" spans="1:4">
      <c r="B35" t="s">
        <v>30</v>
      </c>
      <c r="C35" t="s">
        <v>106</v>
      </c>
    </row>
    <row r="36" spans="1:4">
      <c r="C36" s="3">
        <v>4551.62</v>
      </c>
      <c r="D36" t="s">
        <v>31</v>
      </c>
    </row>
    <row r="37" spans="1:4">
      <c r="B37" t="s">
        <v>14</v>
      </c>
      <c r="C37" t="s">
        <v>107</v>
      </c>
    </row>
    <row r="38" spans="1:4">
      <c r="C38" s="3">
        <v>9692</v>
      </c>
      <c r="D38" t="s">
        <v>33</v>
      </c>
    </row>
    <row r="39" spans="1:4">
      <c r="B39" t="s">
        <v>18</v>
      </c>
      <c r="C39" t="s">
        <v>95</v>
      </c>
    </row>
    <row r="40" spans="1:4">
      <c r="C40" s="3" t="s">
        <v>103</v>
      </c>
    </row>
    <row r="42" spans="1:4">
      <c r="C42" s="3"/>
    </row>
  </sheetData>
  <pageMargins left="0.7" right="0.7" top="0.75" bottom="0.75" header="0.3" footer="0.3"/>
  <pageSetup scale="1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612D-4A05-42F0-B038-1D5D14B5D795}">
  <sheetPr>
    <pageSetUpPr fitToPage="1"/>
  </sheetPr>
  <dimension ref="A1:I46"/>
  <sheetViews>
    <sheetView topLeftCell="A4" workbookViewId="0">
      <selection activeCell="B10" sqref="B10"/>
    </sheetView>
  </sheetViews>
  <sheetFormatPr defaultRowHeight="14.5"/>
  <cols>
    <col min="2" max="2" width="10.1796875" bestFit="1" customWidth="1"/>
    <col min="3" max="3" width="12.26953125" customWidth="1"/>
    <col min="6" max="6" width="11.7265625" bestFit="1" customWidth="1"/>
  </cols>
  <sheetData>
    <row r="1" spans="1:9">
      <c r="A1" s="8" t="s">
        <v>3</v>
      </c>
      <c r="E1" s="9"/>
      <c r="F1" s="14" t="s">
        <v>57</v>
      </c>
      <c r="G1" s="12"/>
      <c r="H1" s="13"/>
      <c r="I1" s="13"/>
    </row>
    <row r="2" spans="1:9">
      <c r="A2" s="8" t="s">
        <v>4</v>
      </c>
      <c r="F2" s="14" t="s">
        <v>58</v>
      </c>
      <c r="G2" s="12"/>
      <c r="H2" s="13"/>
      <c r="I2" s="13"/>
    </row>
    <row r="4" spans="1:9">
      <c r="A4" t="s">
        <v>1</v>
      </c>
      <c r="B4" s="1">
        <v>45630</v>
      </c>
    </row>
    <row r="5" spans="1:9">
      <c r="A5" t="s">
        <v>0</v>
      </c>
      <c r="B5" t="s">
        <v>2</v>
      </c>
    </row>
    <row r="7" spans="1:9">
      <c r="A7" t="s">
        <v>5</v>
      </c>
    </row>
    <row r="9" spans="1:9">
      <c r="A9" t="s">
        <v>6</v>
      </c>
      <c r="B9" t="s">
        <v>102</v>
      </c>
    </row>
    <row r="10" spans="1:9">
      <c r="B10" t="s">
        <v>10</v>
      </c>
      <c r="C10" s="4"/>
      <c r="D10" t="s">
        <v>27</v>
      </c>
      <c r="E10" s="4"/>
    </row>
    <row r="12" spans="1:9">
      <c r="A12" t="s">
        <v>30</v>
      </c>
      <c r="B12" t="s">
        <v>99</v>
      </c>
    </row>
    <row r="13" spans="1:9">
      <c r="B13" t="s">
        <v>9</v>
      </c>
      <c r="C13" s="4"/>
    </row>
    <row r="15" spans="1:9">
      <c r="A15" t="s">
        <v>14</v>
      </c>
      <c r="B15" t="s">
        <v>9</v>
      </c>
      <c r="C15" s="4"/>
    </row>
    <row r="16" spans="1:9">
      <c r="B16" t="s">
        <v>11</v>
      </c>
      <c r="C16" s="2">
        <v>50</v>
      </c>
    </row>
    <row r="17" spans="1:3">
      <c r="B17" t="s">
        <v>12</v>
      </c>
      <c r="C17" t="s">
        <v>15</v>
      </c>
    </row>
    <row r="18" spans="1:3">
      <c r="B18" t="s">
        <v>13</v>
      </c>
      <c r="C18" t="s">
        <v>96</v>
      </c>
    </row>
    <row r="20" spans="1:3">
      <c r="A20" t="s">
        <v>18</v>
      </c>
      <c r="B20" t="s">
        <v>9</v>
      </c>
      <c r="C20" s="4"/>
    </row>
    <row r="21" spans="1:3" ht="15.5">
      <c r="B21" t="s">
        <v>11</v>
      </c>
      <c r="C21" s="15">
        <v>4627.2299999999996</v>
      </c>
    </row>
    <row r="22" spans="1:3">
      <c r="B22" t="s">
        <v>12</v>
      </c>
      <c r="C22" t="s">
        <v>15</v>
      </c>
    </row>
    <row r="23" spans="1:3">
      <c r="B23" t="s">
        <v>13</v>
      </c>
      <c r="C23" t="s">
        <v>97</v>
      </c>
    </row>
    <row r="25" spans="1:3">
      <c r="A25" t="s">
        <v>21</v>
      </c>
      <c r="B25" t="s">
        <v>9</v>
      </c>
      <c r="C25" s="4"/>
    </row>
    <row r="26" spans="1:3" ht="15.5">
      <c r="B26" t="s">
        <v>11</v>
      </c>
      <c r="C26" s="15">
        <v>231.23</v>
      </c>
    </row>
    <row r="27" spans="1:3">
      <c r="B27" t="s">
        <v>12</v>
      </c>
    </row>
    <row r="28" spans="1:3">
      <c r="B28" t="s">
        <v>13</v>
      </c>
      <c r="C28" t="s">
        <v>98</v>
      </c>
    </row>
    <row r="30" spans="1:3">
      <c r="A30" t="s">
        <v>78</v>
      </c>
      <c r="B30" t="s">
        <v>22</v>
      </c>
    </row>
    <row r="31" spans="1:3">
      <c r="B31" t="s">
        <v>23</v>
      </c>
    </row>
    <row r="32" spans="1:3">
      <c r="B32" t="s">
        <v>24</v>
      </c>
    </row>
    <row r="33" spans="1:4">
      <c r="B33" t="s">
        <v>25</v>
      </c>
    </row>
    <row r="34" spans="1:4">
      <c r="B34" t="s">
        <v>26</v>
      </c>
    </row>
    <row r="37" spans="1:4">
      <c r="A37" t="s">
        <v>20</v>
      </c>
    </row>
    <row r="38" spans="1:4">
      <c r="B38" t="s">
        <v>6</v>
      </c>
      <c r="C38" t="s">
        <v>29</v>
      </c>
    </row>
    <row r="39" spans="1:4">
      <c r="B39" t="s">
        <v>30</v>
      </c>
      <c r="C39" t="s">
        <v>100</v>
      </c>
    </row>
    <row r="40" spans="1:4">
      <c r="C40" s="3">
        <v>4441.3999999999996</v>
      </c>
      <c r="D40" t="s">
        <v>31</v>
      </c>
    </row>
    <row r="41" spans="1:4">
      <c r="B41" t="s">
        <v>14</v>
      </c>
      <c r="C41" t="s">
        <v>101</v>
      </c>
    </row>
    <row r="42" spans="1:4">
      <c r="C42" s="3">
        <v>6952.5599999999995</v>
      </c>
      <c r="D42" t="s">
        <v>33</v>
      </c>
    </row>
    <row r="43" spans="1:4">
      <c r="B43" t="s">
        <v>18</v>
      </c>
      <c r="C43" t="s">
        <v>95</v>
      </c>
    </row>
    <row r="44" spans="1:4">
      <c r="C44" s="3"/>
    </row>
    <row r="46" spans="1:4">
      <c r="C46" s="3"/>
    </row>
  </sheetData>
  <pageMargins left="0.7" right="0.7" top="0.75" bottom="0.75" header="0.3" footer="0.3"/>
  <pageSetup scale="1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0CCB-6456-44E9-919E-5A15ACC615EF}">
  <sheetPr>
    <pageSetUpPr fitToPage="1"/>
  </sheetPr>
  <dimension ref="A1:I38"/>
  <sheetViews>
    <sheetView workbookViewId="0">
      <selection activeCell="E37" sqref="E37"/>
    </sheetView>
  </sheetViews>
  <sheetFormatPr defaultRowHeight="14.5"/>
  <cols>
    <col min="2" max="2" width="10.1796875" bestFit="1" customWidth="1"/>
    <col min="3" max="3" width="12.26953125" customWidth="1"/>
    <col min="6" max="6" width="11.7265625" bestFit="1" customWidth="1"/>
  </cols>
  <sheetData>
    <row r="1" spans="1:9">
      <c r="A1" s="8" t="s">
        <v>3</v>
      </c>
      <c r="E1" s="9"/>
      <c r="F1" s="14" t="s">
        <v>57</v>
      </c>
      <c r="G1" s="12"/>
      <c r="H1" s="13"/>
      <c r="I1" s="13"/>
    </row>
    <row r="2" spans="1:9">
      <c r="A2" s="8" t="s">
        <v>4</v>
      </c>
      <c r="F2" s="14" t="s">
        <v>58</v>
      </c>
      <c r="G2" s="12"/>
      <c r="H2" s="13"/>
      <c r="I2" s="13"/>
    </row>
    <row r="4" spans="1:9">
      <c r="A4" t="s">
        <v>1</v>
      </c>
      <c r="B4" s="1">
        <v>45615</v>
      </c>
    </row>
    <row r="5" spans="1:9">
      <c r="A5" t="s">
        <v>0</v>
      </c>
      <c r="B5" t="s">
        <v>2</v>
      </c>
    </row>
    <row r="7" spans="1:9">
      <c r="A7" t="s">
        <v>5</v>
      </c>
    </row>
    <row r="9" spans="1:9">
      <c r="A9" t="s">
        <v>6</v>
      </c>
      <c r="B9" t="s">
        <v>69</v>
      </c>
    </row>
    <row r="10" spans="1:9">
      <c r="B10" t="s">
        <v>10</v>
      </c>
      <c r="C10" s="4"/>
      <c r="D10" t="s">
        <v>27</v>
      </c>
      <c r="E10" s="4"/>
    </row>
    <row r="12" spans="1:9">
      <c r="A12" t="s">
        <v>8</v>
      </c>
      <c r="B12" t="s">
        <v>9</v>
      </c>
      <c r="C12" s="4"/>
    </row>
    <row r="13" spans="1:9">
      <c r="B13" t="s">
        <v>11</v>
      </c>
      <c r="C13" s="2">
        <v>50</v>
      </c>
    </row>
    <row r="14" spans="1:9">
      <c r="B14" t="s">
        <v>12</v>
      </c>
      <c r="C14" t="s">
        <v>15</v>
      </c>
    </row>
    <row r="15" spans="1:9">
      <c r="B15" t="s">
        <v>13</v>
      </c>
      <c r="C15" t="s">
        <v>91</v>
      </c>
    </row>
    <row r="17" spans="1:4">
      <c r="A17" t="s">
        <v>14</v>
      </c>
      <c r="B17" t="s">
        <v>9</v>
      </c>
      <c r="C17" s="4"/>
    </row>
    <row r="18" spans="1:4" ht="15.5">
      <c r="B18" t="s">
        <v>11</v>
      </c>
      <c r="C18" s="15">
        <v>5076.04</v>
      </c>
    </row>
    <row r="19" spans="1:4">
      <c r="B19" t="s">
        <v>12</v>
      </c>
      <c r="C19" t="s">
        <v>15</v>
      </c>
    </row>
    <row r="20" spans="1:4">
      <c r="B20" t="s">
        <v>13</v>
      </c>
      <c r="C20" t="s">
        <v>92</v>
      </c>
    </row>
    <row r="22" spans="1:4">
      <c r="A22" t="s">
        <v>18</v>
      </c>
      <c r="B22" t="s">
        <v>22</v>
      </c>
    </row>
    <row r="23" spans="1:4">
      <c r="B23" t="s">
        <v>23</v>
      </c>
    </row>
    <row r="24" spans="1:4">
      <c r="B24" t="s">
        <v>24</v>
      </c>
    </row>
    <row r="25" spans="1:4">
      <c r="B25" t="s">
        <v>25</v>
      </c>
    </row>
    <row r="26" spans="1:4">
      <c r="B26" t="s">
        <v>26</v>
      </c>
    </row>
    <row r="29" spans="1:4">
      <c r="A29" t="s">
        <v>20</v>
      </c>
    </row>
    <row r="30" spans="1:4">
      <c r="B30" t="s">
        <v>6</v>
      </c>
      <c r="C30" t="s">
        <v>29</v>
      </c>
    </row>
    <row r="31" spans="1:4">
      <c r="B31" t="s">
        <v>30</v>
      </c>
      <c r="C31" t="s">
        <v>93</v>
      </c>
    </row>
    <row r="32" spans="1:4">
      <c r="C32" s="3">
        <v>4627.2</v>
      </c>
      <c r="D32" t="s">
        <v>31</v>
      </c>
    </row>
    <row r="33" spans="2:4">
      <c r="B33" t="s">
        <v>14</v>
      </c>
      <c r="C33" t="s">
        <v>94</v>
      </c>
    </row>
    <row r="34" spans="2:4">
      <c r="C34" s="3">
        <v>7672.32</v>
      </c>
      <c r="D34" t="s">
        <v>33</v>
      </c>
    </row>
    <row r="35" spans="2:4">
      <c r="B35" t="s">
        <v>18</v>
      </c>
      <c r="C35" t="s">
        <v>95</v>
      </c>
    </row>
    <row r="36" spans="2:4">
      <c r="C36" s="3"/>
    </row>
    <row r="38" spans="2:4">
      <c r="C38" s="3"/>
    </row>
  </sheetData>
  <pageMargins left="0.7" right="0.7" top="0.75" bottom="0.75" header="0.3" footer="0.3"/>
  <pageSetup scale="1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40E0-2541-4E88-904D-23FEEE64CF7C}">
  <sheetPr>
    <pageSetUpPr fitToPage="1"/>
  </sheetPr>
  <dimension ref="A1:I38"/>
  <sheetViews>
    <sheetView topLeftCell="A14" workbookViewId="0">
      <selection activeCell="L28" sqref="L28"/>
    </sheetView>
  </sheetViews>
  <sheetFormatPr defaultRowHeight="14.5"/>
  <cols>
    <col min="2" max="2" width="10.1796875" bestFit="1" customWidth="1"/>
    <col min="3" max="3" width="12.26953125" customWidth="1"/>
    <col min="6" max="6" width="11.7265625" bestFit="1" customWidth="1"/>
  </cols>
  <sheetData>
    <row r="1" spans="1:9">
      <c r="A1" s="8" t="s">
        <v>3</v>
      </c>
      <c r="E1" s="9"/>
      <c r="F1" s="14" t="s">
        <v>57</v>
      </c>
      <c r="G1" s="12"/>
      <c r="H1" s="13"/>
      <c r="I1" s="13"/>
    </row>
    <row r="2" spans="1:9">
      <c r="A2" s="8" t="s">
        <v>4</v>
      </c>
      <c r="F2" s="14" t="s">
        <v>58</v>
      </c>
      <c r="G2" s="12"/>
      <c r="H2" s="13"/>
      <c r="I2" s="13"/>
    </row>
    <row r="4" spans="1:9">
      <c r="A4" t="s">
        <v>1</v>
      </c>
      <c r="B4" s="1">
        <v>45602</v>
      </c>
    </row>
    <row r="5" spans="1:9">
      <c r="A5" t="s">
        <v>0</v>
      </c>
      <c r="B5" t="s">
        <v>2</v>
      </c>
    </row>
    <row r="7" spans="1:9">
      <c r="A7" t="s">
        <v>5</v>
      </c>
    </row>
    <row r="9" spans="1:9">
      <c r="A9" t="s">
        <v>6</v>
      </c>
      <c r="B9" t="s">
        <v>69</v>
      </c>
    </row>
    <row r="10" spans="1:9">
      <c r="B10" t="s">
        <v>10</v>
      </c>
      <c r="C10" s="4"/>
      <c r="D10" t="s">
        <v>27</v>
      </c>
      <c r="E10" s="4"/>
    </row>
    <row r="12" spans="1:9">
      <c r="A12" t="s">
        <v>8</v>
      </c>
      <c r="B12" t="s">
        <v>9</v>
      </c>
      <c r="C12" s="4"/>
    </row>
    <row r="13" spans="1:9">
      <c r="B13" t="s">
        <v>11</v>
      </c>
      <c r="C13" s="2">
        <v>50</v>
      </c>
    </row>
    <row r="14" spans="1:9">
      <c r="B14" t="s">
        <v>12</v>
      </c>
      <c r="C14" t="s">
        <v>15</v>
      </c>
    </row>
    <row r="15" spans="1:9">
      <c r="B15" t="s">
        <v>13</v>
      </c>
      <c r="C15" t="s">
        <v>87</v>
      </c>
    </row>
    <row r="17" spans="1:4">
      <c r="A17" t="s">
        <v>14</v>
      </c>
      <c r="B17" t="s">
        <v>9</v>
      </c>
      <c r="C17" s="4"/>
    </row>
    <row r="18" spans="1:4" ht="15.5">
      <c r="B18" t="s">
        <v>11</v>
      </c>
      <c r="C18" s="15">
        <v>4927.5600000000004</v>
      </c>
    </row>
    <row r="19" spans="1:4">
      <c r="B19" t="s">
        <v>12</v>
      </c>
      <c r="C19" t="s">
        <v>15</v>
      </c>
    </row>
    <row r="20" spans="1:4">
      <c r="B20" t="s">
        <v>13</v>
      </c>
      <c r="C20" t="s">
        <v>88</v>
      </c>
    </row>
    <row r="22" spans="1:4">
      <c r="A22" t="s">
        <v>18</v>
      </c>
      <c r="B22" t="s">
        <v>22</v>
      </c>
    </row>
    <row r="23" spans="1:4">
      <c r="B23" t="s">
        <v>23</v>
      </c>
    </row>
    <row r="24" spans="1:4">
      <c r="B24" t="s">
        <v>24</v>
      </c>
    </row>
    <row r="25" spans="1:4">
      <c r="B25" t="s">
        <v>25</v>
      </c>
    </row>
    <row r="26" spans="1:4">
      <c r="B26" t="s">
        <v>26</v>
      </c>
    </row>
    <row r="29" spans="1:4">
      <c r="A29" t="s">
        <v>20</v>
      </c>
    </row>
    <row r="30" spans="1:4">
      <c r="B30" t="s">
        <v>6</v>
      </c>
      <c r="C30" t="s">
        <v>29</v>
      </c>
    </row>
    <row r="31" spans="1:4">
      <c r="B31" t="s">
        <v>30</v>
      </c>
      <c r="C31" t="s">
        <v>90</v>
      </c>
    </row>
    <row r="32" spans="1:4">
      <c r="C32" s="3">
        <f>1535.9+1830.76+1153.84</f>
        <v>4520.5</v>
      </c>
      <c r="D32" t="s">
        <v>31</v>
      </c>
    </row>
    <row r="33" spans="2:4">
      <c r="B33" t="s">
        <v>14</v>
      </c>
      <c r="C33" t="s">
        <v>89</v>
      </c>
    </row>
    <row r="34" spans="2:4">
      <c r="C34" s="3">
        <v>7256.93</v>
      </c>
      <c r="D34" t="s">
        <v>33</v>
      </c>
    </row>
    <row r="36" spans="2:4">
      <c r="C36" s="3"/>
    </row>
    <row r="38" spans="2:4">
      <c r="C38" s="3"/>
    </row>
  </sheetData>
  <pageMargins left="0.7" right="0.7" top="0.75" bottom="0.75" header="0.3" footer="0.3"/>
  <pageSetup scale="18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B641-EDF4-47D0-8CD4-AC5A47C59761}">
  <sheetPr>
    <pageSetUpPr fitToPage="1"/>
  </sheetPr>
  <dimension ref="A1:I38"/>
  <sheetViews>
    <sheetView topLeftCell="A7" workbookViewId="0">
      <selection activeCell="E17" sqref="E17"/>
    </sheetView>
  </sheetViews>
  <sheetFormatPr defaultRowHeight="14.5"/>
  <cols>
    <col min="2" max="2" width="10.1796875" bestFit="1" customWidth="1"/>
    <col min="3" max="3" width="12.26953125" customWidth="1"/>
    <col min="6" max="6" width="11.7265625" bestFit="1" customWidth="1"/>
  </cols>
  <sheetData>
    <row r="1" spans="1:9">
      <c r="A1" s="8" t="s">
        <v>3</v>
      </c>
      <c r="E1" s="9"/>
      <c r="F1" s="14" t="s">
        <v>57</v>
      </c>
      <c r="G1" s="12"/>
      <c r="H1" s="13"/>
      <c r="I1" s="13"/>
    </row>
    <row r="2" spans="1:9">
      <c r="A2" s="8" t="s">
        <v>4</v>
      </c>
      <c r="F2" s="14" t="s">
        <v>58</v>
      </c>
      <c r="G2" s="12"/>
      <c r="H2" s="13"/>
      <c r="I2" s="13"/>
    </row>
    <row r="4" spans="1:9">
      <c r="A4" t="s">
        <v>1</v>
      </c>
      <c r="B4" s="1">
        <v>45588</v>
      </c>
    </row>
    <row r="5" spans="1:9">
      <c r="A5" t="s">
        <v>0</v>
      </c>
      <c r="B5" t="s">
        <v>2</v>
      </c>
    </row>
    <row r="7" spans="1:9">
      <c r="A7" t="s">
        <v>5</v>
      </c>
    </row>
    <row r="9" spans="1:9">
      <c r="A9" t="s">
        <v>6</v>
      </c>
      <c r="B9" t="s">
        <v>81</v>
      </c>
    </row>
    <row r="10" spans="1:9">
      <c r="B10" t="s">
        <v>10</v>
      </c>
      <c r="C10" s="4"/>
      <c r="D10" t="s">
        <v>27</v>
      </c>
      <c r="E10" s="4"/>
    </row>
    <row r="12" spans="1:9">
      <c r="A12" t="s">
        <v>8</v>
      </c>
      <c r="B12" t="s">
        <v>9</v>
      </c>
      <c r="C12" s="4"/>
    </row>
    <row r="13" spans="1:9">
      <c r="B13" t="s">
        <v>11</v>
      </c>
      <c r="C13" s="2">
        <v>50</v>
      </c>
    </row>
    <row r="14" spans="1:9">
      <c r="B14" t="s">
        <v>12</v>
      </c>
      <c r="C14" t="s">
        <v>15</v>
      </c>
    </row>
    <row r="15" spans="1:9">
      <c r="B15" t="s">
        <v>13</v>
      </c>
      <c r="C15" t="s">
        <v>83</v>
      </c>
    </row>
    <row r="17" spans="1:4">
      <c r="A17" t="s">
        <v>14</v>
      </c>
      <c r="B17" t="s">
        <v>9</v>
      </c>
      <c r="C17" s="4"/>
    </row>
    <row r="18" spans="1:4" ht="15.5">
      <c r="B18" t="s">
        <v>11</v>
      </c>
      <c r="C18" s="15" t="s">
        <v>86</v>
      </c>
    </row>
    <row r="19" spans="1:4">
      <c r="B19" t="s">
        <v>12</v>
      </c>
      <c r="C19" t="s">
        <v>15</v>
      </c>
    </row>
    <row r="20" spans="1:4">
      <c r="B20" t="s">
        <v>13</v>
      </c>
      <c r="C20" t="s">
        <v>82</v>
      </c>
    </row>
    <row r="22" spans="1:4">
      <c r="A22" t="s">
        <v>18</v>
      </c>
      <c r="B22" t="s">
        <v>22</v>
      </c>
    </row>
    <row r="23" spans="1:4">
      <c r="B23" t="s">
        <v>23</v>
      </c>
    </row>
    <row r="24" spans="1:4">
      <c r="B24" t="s">
        <v>24</v>
      </c>
    </row>
    <row r="25" spans="1:4">
      <c r="B25" t="s">
        <v>25</v>
      </c>
    </row>
    <row r="26" spans="1:4">
      <c r="B26" t="s">
        <v>26</v>
      </c>
    </row>
    <row r="29" spans="1:4">
      <c r="A29" t="s">
        <v>20</v>
      </c>
    </row>
    <row r="30" spans="1:4">
      <c r="B30" t="s">
        <v>6</v>
      </c>
      <c r="C30" t="s">
        <v>29</v>
      </c>
    </row>
    <row r="31" spans="1:4">
      <c r="B31" t="s">
        <v>30</v>
      </c>
      <c r="C31" t="s">
        <v>84</v>
      </c>
    </row>
    <row r="32" spans="1:4">
      <c r="C32" s="3">
        <v>4420</v>
      </c>
      <c r="D32" t="s">
        <v>31</v>
      </c>
    </row>
    <row r="33" spans="2:4">
      <c r="B33" t="s">
        <v>14</v>
      </c>
      <c r="C33" t="s">
        <v>85</v>
      </c>
    </row>
    <row r="34" spans="2:4">
      <c r="C34" s="3">
        <v>7293.8600000000006</v>
      </c>
      <c r="D34" t="s">
        <v>33</v>
      </c>
    </row>
    <row r="35" spans="2:4">
      <c r="B35" t="s">
        <v>74</v>
      </c>
      <c r="C35" t="s">
        <v>75</v>
      </c>
    </row>
    <row r="36" spans="2:4">
      <c r="B36" t="s">
        <v>76</v>
      </c>
      <c r="C36" s="3" t="s">
        <v>77</v>
      </c>
    </row>
    <row r="38" spans="2:4">
      <c r="C38" s="3"/>
    </row>
  </sheetData>
  <pageMargins left="0.7" right="0.7" top="0.75" bottom="0.75" header="0.3" footer="0.3"/>
  <pageSetup scale="1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AE48-B945-4D0B-92E2-56D98E7BCBD7}">
  <sheetPr>
    <pageSetUpPr fitToPage="1"/>
  </sheetPr>
  <dimension ref="A1:I38"/>
  <sheetViews>
    <sheetView topLeftCell="A2" workbookViewId="0">
      <selection activeCell="G16" sqref="G16"/>
    </sheetView>
  </sheetViews>
  <sheetFormatPr defaultRowHeight="14.5"/>
  <cols>
    <col min="2" max="2" width="9.54296875" bestFit="1" customWidth="1"/>
    <col min="3" max="3" width="12.26953125" customWidth="1"/>
    <col min="6" max="6" width="11.7265625" bestFit="1" customWidth="1"/>
  </cols>
  <sheetData>
    <row r="1" spans="1:9">
      <c r="A1" s="8" t="s">
        <v>3</v>
      </c>
      <c r="E1" s="9"/>
      <c r="F1" s="14" t="s">
        <v>57</v>
      </c>
      <c r="G1" s="12"/>
      <c r="H1" s="13"/>
      <c r="I1" s="13"/>
    </row>
    <row r="2" spans="1:9">
      <c r="A2" s="8" t="s">
        <v>4</v>
      </c>
      <c r="F2" s="14" t="s">
        <v>58</v>
      </c>
      <c r="G2" s="12"/>
      <c r="H2" s="13"/>
      <c r="I2" s="13"/>
    </row>
    <row r="4" spans="1:9">
      <c r="A4" t="s">
        <v>1</v>
      </c>
      <c r="B4" s="1">
        <v>45574</v>
      </c>
    </row>
    <row r="5" spans="1:9">
      <c r="A5" t="s">
        <v>0</v>
      </c>
      <c r="B5" t="s">
        <v>2</v>
      </c>
    </row>
    <row r="7" spans="1:9">
      <c r="A7" t="s">
        <v>5</v>
      </c>
    </row>
    <row r="9" spans="1:9">
      <c r="A9" t="s">
        <v>6</v>
      </c>
      <c r="B9" t="s">
        <v>69</v>
      </c>
    </row>
    <row r="10" spans="1:9">
      <c r="B10" t="s">
        <v>10</v>
      </c>
      <c r="C10" s="4"/>
      <c r="D10" t="s">
        <v>27</v>
      </c>
      <c r="E10" s="4"/>
    </row>
    <row r="12" spans="1:9">
      <c r="A12" t="s">
        <v>8</v>
      </c>
      <c r="B12" t="s">
        <v>9</v>
      </c>
      <c r="C12" s="4"/>
    </row>
    <row r="13" spans="1:9">
      <c r="B13" t="s">
        <v>11</v>
      </c>
      <c r="C13" s="2">
        <v>50</v>
      </c>
    </row>
    <row r="14" spans="1:9">
      <c r="B14" t="s">
        <v>12</v>
      </c>
      <c r="C14" t="s">
        <v>15</v>
      </c>
    </row>
    <row r="15" spans="1:9">
      <c r="B15" t="s">
        <v>13</v>
      </c>
      <c r="C15" t="s">
        <v>70</v>
      </c>
    </row>
    <row r="17" spans="1:4">
      <c r="A17" t="s">
        <v>14</v>
      </c>
      <c r="B17" t="s">
        <v>9</v>
      </c>
      <c r="C17" s="4"/>
    </row>
    <row r="18" spans="1:4" ht="15.5">
      <c r="B18" t="s">
        <v>11</v>
      </c>
      <c r="C18" s="15">
        <v>5244.93</v>
      </c>
    </row>
    <row r="19" spans="1:4">
      <c r="B19" t="s">
        <v>12</v>
      </c>
      <c r="C19" t="s">
        <v>15</v>
      </c>
    </row>
    <row r="20" spans="1:4">
      <c r="B20" t="s">
        <v>13</v>
      </c>
      <c r="C20" t="s">
        <v>71</v>
      </c>
    </row>
    <row r="22" spans="1:4">
      <c r="A22" t="s">
        <v>18</v>
      </c>
      <c r="B22" t="s">
        <v>22</v>
      </c>
    </row>
    <row r="23" spans="1:4">
      <c r="B23" t="s">
        <v>23</v>
      </c>
    </row>
    <row r="24" spans="1:4">
      <c r="B24" t="s">
        <v>24</v>
      </c>
    </row>
    <row r="25" spans="1:4">
      <c r="B25" t="s">
        <v>25</v>
      </c>
    </row>
    <row r="26" spans="1:4">
      <c r="B26" t="s">
        <v>26</v>
      </c>
    </row>
    <row r="29" spans="1:4">
      <c r="A29" t="s">
        <v>20</v>
      </c>
    </row>
    <row r="30" spans="1:4">
      <c r="B30" t="s">
        <v>6</v>
      </c>
      <c r="C30" t="s">
        <v>29</v>
      </c>
    </row>
    <row r="31" spans="1:4">
      <c r="B31" t="s">
        <v>30</v>
      </c>
      <c r="C31" t="s">
        <v>72</v>
      </c>
    </row>
    <row r="32" spans="1:4">
      <c r="C32" s="3">
        <v>4570.96</v>
      </c>
      <c r="D32" t="s">
        <v>31</v>
      </c>
    </row>
    <row r="33" spans="2:4">
      <c r="B33" t="s">
        <v>14</v>
      </c>
      <c r="C33" t="s">
        <v>73</v>
      </c>
    </row>
    <row r="34" spans="2:4">
      <c r="C34" s="3">
        <v>7461.76</v>
      </c>
      <c r="D34" t="s">
        <v>33</v>
      </c>
    </row>
    <row r="35" spans="2:4">
      <c r="B35" t="s">
        <v>74</v>
      </c>
      <c r="C35" t="s">
        <v>75</v>
      </c>
    </row>
    <row r="36" spans="2:4">
      <c r="B36" t="s">
        <v>76</v>
      </c>
      <c r="C36" s="3" t="s">
        <v>77</v>
      </c>
    </row>
    <row r="37" spans="2:4">
      <c r="B37" t="s">
        <v>78</v>
      </c>
      <c r="C37" t="s">
        <v>79</v>
      </c>
    </row>
    <row r="38" spans="2:4">
      <c r="C38" s="3" t="s">
        <v>80</v>
      </c>
    </row>
  </sheetData>
  <pageMargins left="0.7" right="0.7" top="0.75" bottom="0.75" header="0.3" footer="0.3"/>
  <pageSetup scale="1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65B8-9024-45AE-94C4-90888F9BF080}">
  <dimension ref="A1:I34"/>
  <sheetViews>
    <sheetView workbookViewId="0">
      <selection activeCell="E16" sqref="E16"/>
    </sheetView>
  </sheetViews>
  <sheetFormatPr defaultRowHeight="14.5"/>
  <cols>
    <col min="2" max="2" width="9.54296875" bestFit="1" customWidth="1"/>
    <col min="3" max="3" width="12.26953125" customWidth="1"/>
    <col min="6" max="6" width="11.7265625" bestFit="1" customWidth="1"/>
  </cols>
  <sheetData>
    <row r="1" spans="1:9">
      <c r="A1" s="8" t="s">
        <v>3</v>
      </c>
      <c r="E1" s="9"/>
      <c r="F1" s="14" t="s">
        <v>57</v>
      </c>
      <c r="G1" s="12"/>
      <c r="H1" s="13"/>
      <c r="I1" s="13"/>
    </row>
    <row r="2" spans="1:9">
      <c r="A2" s="8" t="s">
        <v>4</v>
      </c>
      <c r="F2" s="14" t="s">
        <v>58</v>
      </c>
      <c r="G2" s="12"/>
      <c r="H2" s="13"/>
      <c r="I2" s="13"/>
    </row>
    <row r="4" spans="1:9">
      <c r="A4" t="s">
        <v>1</v>
      </c>
      <c r="B4" s="1">
        <v>45559</v>
      </c>
    </row>
    <row r="5" spans="1:9">
      <c r="A5" t="s">
        <v>0</v>
      </c>
      <c r="B5" t="s">
        <v>2</v>
      </c>
    </row>
    <row r="7" spans="1:9">
      <c r="A7" t="s">
        <v>5</v>
      </c>
    </row>
    <row r="9" spans="1:9">
      <c r="A9" t="s">
        <v>6</v>
      </c>
      <c r="B9" t="s">
        <v>64</v>
      </c>
    </row>
    <row r="10" spans="1:9">
      <c r="B10" t="s">
        <v>10</v>
      </c>
      <c r="C10" s="4"/>
      <c r="D10" t="s">
        <v>27</v>
      </c>
      <c r="E10" s="4"/>
    </row>
    <row r="12" spans="1:9">
      <c r="A12" t="s">
        <v>8</v>
      </c>
      <c r="B12" t="s">
        <v>9</v>
      </c>
      <c r="C12" s="4"/>
    </row>
    <row r="13" spans="1:9">
      <c r="B13" t="s">
        <v>11</v>
      </c>
      <c r="C13" s="2">
        <v>50</v>
      </c>
    </row>
    <row r="14" spans="1:9">
      <c r="B14" t="s">
        <v>12</v>
      </c>
      <c r="C14" t="s">
        <v>15</v>
      </c>
    </row>
    <row r="15" spans="1:9">
      <c r="B15" t="s">
        <v>13</v>
      </c>
      <c r="C15" t="s">
        <v>65</v>
      </c>
    </row>
    <row r="17" spans="1:4">
      <c r="A17" t="s">
        <v>14</v>
      </c>
      <c r="B17" t="s">
        <v>9</v>
      </c>
      <c r="C17" s="4"/>
    </row>
    <row r="18" spans="1:4" ht="15.5">
      <c r="B18" t="s">
        <v>11</v>
      </c>
      <c r="C18" s="15">
        <v>4945.4799999999996</v>
      </c>
    </row>
    <row r="19" spans="1:4">
      <c r="B19" t="s">
        <v>12</v>
      </c>
      <c r="C19" t="s">
        <v>15</v>
      </c>
    </row>
    <row r="20" spans="1:4">
      <c r="B20" t="s">
        <v>13</v>
      </c>
      <c r="C20" t="s">
        <v>66</v>
      </c>
    </row>
    <row r="22" spans="1:4">
      <c r="A22" t="s">
        <v>18</v>
      </c>
      <c r="B22" t="s">
        <v>22</v>
      </c>
    </row>
    <row r="23" spans="1:4">
      <c r="B23" t="s">
        <v>23</v>
      </c>
    </row>
    <row r="24" spans="1:4">
      <c r="B24" t="s">
        <v>24</v>
      </c>
    </row>
    <row r="25" spans="1:4">
      <c r="B25" t="s">
        <v>25</v>
      </c>
    </row>
    <row r="26" spans="1:4">
      <c r="B26" t="s">
        <v>26</v>
      </c>
    </row>
    <row r="29" spans="1:4">
      <c r="A29" t="s">
        <v>20</v>
      </c>
    </row>
    <row r="30" spans="1:4">
      <c r="B30" t="s">
        <v>6</v>
      </c>
      <c r="C30" t="s">
        <v>29</v>
      </c>
    </row>
    <row r="31" spans="1:4">
      <c r="B31" t="s">
        <v>30</v>
      </c>
      <c r="C31" t="s">
        <v>67</v>
      </c>
    </row>
    <row r="32" spans="1:4">
      <c r="C32" s="3">
        <v>4432.63</v>
      </c>
      <c r="D32" t="s">
        <v>31</v>
      </c>
    </row>
    <row r="33" spans="2:4">
      <c r="B33" t="s">
        <v>14</v>
      </c>
      <c r="C33" t="s">
        <v>68</v>
      </c>
    </row>
    <row r="34" spans="2:4">
      <c r="C34" s="3">
        <v>7163.2200000000012</v>
      </c>
      <c r="D34" t="s">
        <v>33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053F-DA7E-48E4-943E-2E2D773E306A}">
  <dimension ref="A1:I34"/>
  <sheetViews>
    <sheetView workbookViewId="0">
      <selection activeCell="G15" sqref="G15"/>
    </sheetView>
  </sheetViews>
  <sheetFormatPr defaultRowHeight="14.5"/>
  <cols>
    <col min="2" max="2" width="9.54296875" bestFit="1" customWidth="1"/>
    <col min="3" max="3" width="12.26953125" customWidth="1"/>
    <col min="6" max="6" width="11.7265625" bestFit="1" customWidth="1"/>
  </cols>
  <sheetData>
    <row r="1" spans="1:9">
      <c r="A1" s="8" t="s">
        <v>3</v>
      </c>
      <c r="E1" s="9"/>
      <c r="F1" s="14" t="s">
        <v>57</v>
      </c>
      <c r="G1" s="12"/>
      <c r="H1" s="13"/>
      <c r="I1" s="13"/>
    </row>
    <row r="2" spans="1:9">
      <c r="A2" s="8" t="s">
        <v>4</v>
      </c>
      <c r="F2" s="14" t="s">
        <v>58</v>
      </c>
      <c r="G2" s="12"/>
      <c r="H2" s="13"/>
      <c r="I2" s="13"/>
    </row>
    <row r="4" spans="1:9">
      <c r="A4" t="s">
        <v>1</v>
      </c>
      <c r="B4" s="1">
        <v>45546</v>
      </c>
    </row>
    <row r="5" spans="1:9">
      <c r="A5" t="s">
        <v>0</v>
      </c>
      <c r="B5" t="s">
        <v>2</v>
      </c>
    </row>
    <row r="7" spans="1:9">
      <c r="A7" t="s">
        <v>5</v>
      </c>
    </row>
    <row r="9" spans="1:9">
      <c r="A9" t="s">
        <v>6</v>
      </c>
      <c r="B9" t="s">
        <v>59</v>
      </c>
    </row>
    <row r="10" spans="1:9">
      <c r="B10" t="s">
        <v>10</v>
      </c>
      <c r="C10" s="4"/>
      <c r="D10" t="s">
        <v>27</v>
      </c>
      <c r="E10" s="4"/>
    </row>
    <row r="12" spans="1:9">
      <c r="A12" t="s">
        <v>8</v>
      </c>
      <c r="B12" t="s">
        <v>9</v>
      </c>
      <c r="C12" s="4"/>
    </row>
    <row r="13" spans="1:9">
      <c r="B13" t="s">
        <v>11</v>
      </c>
      <c r="C13" s="2">
        <v>50</v>
      </c>
    </row>
    <row r="14" spans="1:9">
      <c r="B14" t="s">
        <v>12</v>
      </c>
      <c r="C14" t="s">
        <v>15</v>
      </c>
    </row>
    <row r="15" spans="1:9">
      <c r="B15" t="s">
        <v>13</v>
      </c>
      <c r="C15" t="s">
        <v>60</v>
      </c>
    </row>
    <row r="17" spans="1:4">
      <c r="A17" t="s">
        <v>14</v>
      </c>
      <c r="B17" t="s">
        <v>9</v>
      </c>
      <c r="C17" s="4"/>
    </row>
    <row r="18" spans="1:4">
      <c r="B18" t="s">
        <v>11</v>
      </c>
      <c r="C18" s="3">
        <v>5122.16</v>
      </c>
    </row>
    <row r="19" spans="1:4">
      <c r="B19" t="s">
        <v>12</v>
      </c>
      <c r="C19" t="s">
        <v>15</v>
      </c>
    </row>
    <row r="20" spans="1:4">
      <c r="B20" t="s">
        <v>13</v>
      </c>
      <c r="C20" t="s">
        <v>61</v>
      </c>
    </row>
    <row r="22" spans="1:4">
      <c r="A22" t="s">
        <v>18</v>
      </c>
      <c r="B22" t="s">
        <v>22</v>
      </c>
    </row>
    <row r="23" spans="1:4">
      <c r="B23" t="s">
        <v>23</v>
      </c>
    </row>
    <row r="24" spans="1:4">
      <c r="B24" t="s">
        <v>24</v>
      </c>
    </row>
    <row r="25" spans="1:4">
      <c r="B25" t="s">
        <v>25</v>
      </c>
    </row>
    <row r="26" spans="1:4">
      <c r="B26" t="s">
        <v>26</v>
      </c>
    </row>
    <row r="29" spans="1:4">
      <c r="A29" t="s">
        <v>20</v>
      </c>
    </row>
    <row r="30" spans="1:4">
      <c r="B30" t="s">
        <v>6</v>
      </c>
      <c r="C30" t="s">
        <v>29</v>
      </c>
    </row>
    <row r="31" spans="1:4">
      <c r="B31" t="s">
        <v>30</v>
      </c>
      <c r="C31" t="s">
        <v>62</v>
      </c>
    </row>
    <row r="32" spans="1:4">
      <c r="C32" s="3">
        <v>4443.2700000000004</v>
      </c>
      <c r="D32" t="s">
        <v>31</v>
      </c>
    </row>
    <row r="33" spans="2:4">
      <c r="B33" t="s">
        <v>14</v>
      </c>
      <c r="C33" t="s">
        <v>63</v>
      </c>
    </row>
    <row r="34" spans="2:4">
      <c r="C34" s="3">
        <v>7842.58</v>
      </c>
      <c r="D34" t="s">
        <v>33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90E7-091D-4CAE-8509-BE90F08E31AC}">
  <dimension ref="A1:I34"/>
  <sheetViews>
    <sheetView topLeftCell="A13" workbookViewId="0">
      <selection activeCell="E19" sqref="E19"/>
    </sheetView>
  </sheetViews>
  <sheetFormatPr defaultRowHeight="14.5"/>
  <cols>
    <col min="2" max="2" width="9.54296875" bestFit="1" customWidth="1"/>
    <col min="3" max="3" width="12.26953125" customWidth="1"/>
    <col min="6" max="6" width="11.7265625" bestFit="1" customWidth="1"/>
  </cols>
  <sheetData>
    <row r="1" spans="1:9">
      <c r="A1" s="8" t="s">
        <v>3</v>
      </c>
      <c r="E1" s="9"/>
      <c r="F1" s="14" t="s">
        <v>57</v>
      </c>
      <c r="G1" s="12"/>
      <c r="H1" s="13"/>
      <c r="I1" s="13"/>
    </row>
    <row r="2" spans="1:9">
      <c r="A2" s="8" t="s">
        <v>4</v>
      </c>
      <c r="F2" s="14" t="s">
        <v>58</v>
      </c>
      <c r="G2" s="12"/>
      <c r="H2" s="13"/>
      <c r="I2" s="13"/>
    </row>
    <row r="4" spans="1:9">
      <c r="A4" t="s">
        <v>1</v>
      </c>
      <c r="B4" s="1">
        <v>45532</v>
      </c>
    </row>
    <row r="5" spans="1:9">
      <c r="A5" t="s">
        <v>0</v>
      </c>
      <c r="B5" t="s">
        <v>2</v>
      </c>
    </row>
    <row r="7" spans="1:9">
      <c r="A7" t="s">
        <v>5</v>
      </c>
    </row>
    <row r="9" spans="1:9">
      <c r="A9" t="s">
        <v>6</v>
      </c>
      <c r="B9" t="s">
        <v>56</v>
      </c>
    </row>
    <row r="10" spans="1:9">
      <c r="B10" t="s">
        <v>10</v>
      </c>
      <c r="C10" s="4"/>
      <c r="D10" t="s">
        <v>27</v>
      </c>
      <c r="E10" s="4"/>
    </row>
    <row r="12" spans="1:9">
      <c r="A12" t="s">
        <v>8</v>
      </c>
      <c r="B12" t="s">
        <v>9</v>
      </c>
      <c r="C12" s="4"/>
    </row>
    <row r="13" spans="1:9">
      <c r="B13" t="s">
        <v>11</v>
      </c>
      <c r="C13" s="2">
        <v>50</v>
      </c>
    </row>
    <row r="14" spans="1:9">
      <c r="B14" t="s">
        <v>12</v>
      </c>
      <c r="C14" t="s">
        <v>15</v>
      </c>
    </row>
    <row r="15" spans="1:9">
      <c r="B15" t="s">
        <v>13</v>
      </c>
      <c r="C15" t="s">
        <v>52</v>
      </c>
    </row>
    <row r="17" spans="1:4">
      <c r="A17" t="s">
        <v>14</v>
      </c>
      <c r="B17" t="s">
        <v>9</v>
      </c>
      <c r="C17" s="4"/>
    </row>
    <row r="18" spans="1:4">
      <c r="B18" t="s">
        <v>11</v>
      </c>
      <c r="C18" s="3">
        <v>5381.09</v>
      </c>
    </row>
    <row r="19" spans="1:4">
      <c r="B19" t="s">
        <v>12</v>
      </c>
      <c r="C19" t="s">
        <v>15</v>
      </c>
    </row>
    <row r="20" spans="1:4">
      <c r="B20" t="s">
        <v>13</v>
      </c>
      <c r="C20" t="s">
        <v>53</v>
      </c>
    </row>
    <row r="22" spans="1:4">
      <c r="A22" t="s">
        <v>18</v>
      </c>
      <c r="B22" t="s">
        <v>22</v>
      </c>
    </row>
    <row r="23" spans="1:4">
      <c r="B23" t="s">
        <v>23</v>
      </c>
    </row>
    <row r="24" spans="1:4">
      <c r="B24" t="s">
        <v>24</v>
      </c>
    </row>
    <row r="25" spans="1:4">
      <c r="B25" t="s">
        <v>25</v>
      </c>
    </row>
    <row r="26" spans="1:4">
      <c r="B26" t="s">
        <v>26</v>
      </c>
    </row>
    <row r="29" spans="1:4">
      <c r="A29" t="s">
        <v>20</v>
      </c>
    </row>
    <row r="30" spans="1:4">
      <c r="B30" t="s">
        <v>6</v>
      </c>
      <c r="C30" t="s">
        <v>29</v>
      </c>
    </row>
    <row r="31" spans="1:4">
      <c r="B31" t="s">
        <v>30</v>
      </c>
      <c r="C31" t="s">
        <v>54</v>
      </c>
    </row>
    <row r="32" spans="1:4">
      <c r="C32" s="3">
        <v>4423.1099999999997</v>
      </c>
      <c r="D32" t="s">
        <v>31</v>
      </c>
    </row>
    <row r="33" spans="2:4">
      <c r="B33" t="s">
        <v>14</v>
      </c>
      <c r="C33" t="s">
        <v>55</v>
      </c>
    </row>
    <row r="34" spans="2:4">
      <c r="C34" s="3">
        <v>9786.7199999999993</v>
      </c>
      <c r="D34" t="s">
        <v>33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CA6A-9784-4095-817E-83AEF33BC80A}">
  <dimension ref="A1:G34"/>
  <sheetViews>
    <sheetView workbookViewId="0">
      <selection activeCell="H15" sqref="H15"/>
    </sheetView>
  </sheetViews>
  <sheetFormatPr defaultRowHeight="14.5"/>
  <cols>
    <col min="2" max="2" width="9.54296875" bestFit="1" customWidth="1"/>
    <col min="3" max="3" width="12.26953125" customWidth="1"/>
  </cols>
  <sheetData>
    <row r="1" spans="1:7">
      <c r="A1" s="8" t="s">
        <v>3</v>
      </c>
      <c r="E1" s="9"/>
      <c r="F1" s="9"/>
      <c r="G1" s="10"/>
    </row>
    <row r="2" spans="1:7">
      <c r="A2" s="8" t="s">
        <v>4</v>
      </c>
    </row>
    <row r="4" spans="1:7">
      <c r="A4" t="s">
        <v>1</v>
      </c>
      <c r="B4" s="1">
        <v>45519</v>
      </c>
    </row>
    <row r="5" spans="1:7">
      <c r="A5" t="s">
        <v>0</v>
      </c>
      <c r="B5" t="s">
        <v>2</v>
      </c>
    </row>
    <row r="7" spans="1:7">
      <c r="A7" t="s">
        <v>5</v>
      </c>
    </row>
    <row r="9" spans="1:7">
      <c r="A9" t="s">
        <v>6</v>
      </c>
      <c r="B9" t="s">
        <v>47</v>
      </c>
    </row>
    <row r="10" spans="1:7">
      <c r="B10" t="s">
        <v>10</v>
      </c>
      <c r="C10" s="4">
        <v>3230</v>
      </c>
      <c r="D10" t="s">
        <v>27</v>
      </c>
      <c r="E10" s="4">
        <v>3280</v>
      </c>
    </row>
    <row r="12" spans="1:7">
      <c r="A12" t="s">
        <v>8</v>
      </c>
      <c r="B12" t="s">
        <v>9</v>
      </c>
      <c r="C12" s="4">
        <v>3281</v>
      </c>
    </row>
    <row r="13" spans="1:7">
      <c r="B13" t="s">
        <v>11</v>
      </c>
      <c r="C13" s="2">
        <v>50</v>
      </c>
    </row>
    <row r="14" spans="1:7">
      <c r="B14" t="s">
        <v>12</v>
      </c>
      <c r="C14" t="s">
        <v>15</v>
      </c>
    </row>
    <row r="15" spans="1:7">
      <c r="B15" t="s">
        <v>13</v>
      </c>
      <c r="C15" t="s">
        <v>48</v>
      </c>
    </row>
    <row r="17" spans="1:4">
      <c r="A17" t="s">
        <v>14</v>
      </c>
      <c r="B17" t="s">
        <v>9</v>
      </c>
      <c r="C17" s="4">
        <v>3282</v>
      </c>
    </row>
    <row r="18" spans="1:4">
      <c r="B18" t="s">
        <v>11</v>
      </c>
      <c r="C18" s="3">
        <v>5534.9100000000008</v>
      </c>
    </row>
    <row r="19" spans="1:4">
      <c r="B19" t="s">
        <v>12</v>
      </c>
      <c r="C19" t="s">
        <v>15</v>
      </c>
    </row>
    <row r="20" spans="1:4">
      <c r="B20" t="s">
        <v>13</v>
      </c>
      <c r="C20" t="s">
        <v>49</v>
      </c>
    </row>
    <row r="22" spans="1:4">
      <c r="A22" t="s">
        <v>18</v>
      </c>
      <c r="B22" t="s">
        <v>22</v>
      </c>
    </row>
    <row r="23" spans="1:4">
      <c r="B23" t="s">
        <v>23</v>
      </c>
    </row>
    <row r="24" spans="1:4">
      <c r="B24" t="s">
        <v>24</v>
      </c>
    </row>
    <row r="25" spans="1:4">
      <c r="B25" t="s">
        <v>25</v>
      </c>
    </row>
    <row r="26" spans="1:4">
      <c r="B26" t="s">
        <v>26</v>
      </c>
    </row>
    <row r="29" spans="1:4">
      <c r="A29" t="s">
        <v>20</v>
      </c>
    </row>
    <row r="30" spans="1:4">
      <c r="B30" t="s">
        <v>6</v>
      </c>
      <c r="C30" t="s">
        <v>29</v>
      </c>
    </row>
    <row r="31" spans="1:4">
      <c r="B31" t="s">
        <v>30</v>
      </c>
      <c r="C31" t="s">
        <v>50</v>
      </c>
    </row>
    <row r="32" spans="1:4">
      <c r="C32" s="3">
        <v>4464.3665499999997</v>
      </c>
      <c r="D32" t="s">
        <v>31</v>
      </c>
    </row>
    <row r="33" spans="2:4">
      <c r="B33" t="s">
        <v>14</v>
      </c>
      <c r="C33" t="s">
        <v>51</v>
      </c>
    </row>
    <row r="34" spans="2:4">
      <c r="C34" s="3">
        <v>10082.612789999997</v>
      </c>
      <c r="D34" t="s">
        <v>33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D759-7D03-4B8A-9267-926D818C60F1}">
  <sheetPr>
    <pageSetUpPr fitToPage="1"/>
  </sheetPr>
  <dimension ref="A1:H43"/>
  <sheetViews>
    <sheetView workbookViewId="0">
      <selection activeCell="C18" sqref="C18"/>
    </sheetView>
  </sheetViews>
  <sheetFormatPr defaultRowHeight="14.5"/>
  <cols>
    <col min="2" max="2" width="11.81640625" customWidth="1"/>
    <col min="3" max="3" width="10.54296875" bestFit="1" customWidth="1"/>
    <col min="4" max="4" width="11.453125" customWidth="1"/>
    <col min="5" max="5" width="9.81640625" bestFit="1" customWidth="1"/>
    <col min="8" max="9" width="9.1796875" bestFit="1" customWidth="1"/>
  </cols>
  <sheetData>
    <row r="1" spans="1:5">
      <c r="A1" s="8" t="s">
        <v>3</v>
      </c>
    </row>
    <row r="2" spans="1:5">
      <c r="A2" s="8" t="s">
        <v>4</v>
      </c>
    </row>
    <row r="4" spans="1:5">
      <c r="A4" t="s">
        <v>1</v>
      </c>
      <c r="B4" s="7">
        <v>45504</v>
      </c>
    </row>
    <row r="5" spans="1:5">
      <c r="A5" t="s">
        <v>0</v>
      </c>
      <c r="B5" t="s">
        <v>2</v>
      </c>
    </row>
    <row r="7" spans="1:5">
      <c r="A7" t="s">
        <v>5</v>
      </c>
    </row>
    <row r="9" spans="1:5">
      <c r="A9" t="s">
        <v>6</v>
      </c>
      <c r="B9" s="4">
        <v>52</v>
      </c>
      <c r="C9" t="s">
        <v>34</v>
      </c>
    </row>
    <row r="10" spans="1:5">
      <c r="B10" t="s">
        <v>10</v>
      </c>
      <c r="C10" s="4">
        <v>2171</v>
      </c>
      <c r="D10" t="s">
        <v>27</v>
      </c>
      <c r="E10" s="4">
        <f>C10+51</f>
        <v>2222</v>
      </c>
    </row>
    <row r="11" spans="1:5">
      <c r="C11" s="4"/>
      <c r="E11" s="4"/>
    </row>
    <row r="13" spans="1:5">
      <c r="A13" t="s">
        <v>8</v>
      </c>
      <c r="B13" t="s">
        <v>9</v>
      </c>
      <c r="C13" s="4">
        <v>2223</v>
      </c>
    </row>
    <row r="14" spans="1:5">
      <c r="B14" t="s">
        <v>11</v>
      </c>
      <c r="C14" s="5">
        <v>385</v>
      </c>
    </row>
    <row r="15" spans="1:5">
      <c r="B15" t="s">
        <v>12</v>
      </c>
      <c r="C15" t="s">
        <v>44</v>
      </c>
    </row>
    <row r="17" spans="1:5">
      <c r="A17" t="s">
        <v>14</v>
      </c>
      <c r="B17" t="s">
        <v>9</v>
      </c>
      <c r="C17" s="4">
        <v>2224</v>
      </c>
    </row>
    <row r="18" spans="1:5">
      <c r="B18" t="s">
        <v>11</v>
      </c>
      <c r="C18" s="5">
        <v>50</v>
      </c>
    </row>
    <row r="19" spans="1:5">
      <c r="B19" t="s">
        <v>12</v>
      </c>
      <c r="C19" t="s">
        <v>15</v>
      </c>
    </row>
    <row r="20" spans="1:5">
      <c r="B20" t="s">
        <v>13</v>
      </c>
      <c r="C20" t="s">
        <v>35</v>
      </c>
      <c r="E20" s="4" t="s">
        <v>36</v>
      </c>
    </row>
    <row r="21" spans="1:5">
      <c r="C21" t="s">
        <v>42</v>
      </c>
      <c r="E21" s="4" t="s">
        <v>43</v>
      </c>
    </row>
    <row r="23" spans="1:5">
      <c r="A23" t="s">
        <v>18</v>
      </c>
      <c r="B23" t="s">
        <v>9</v>
      </c>
      <c r="C23" s="4">
        <v>2225</v>
      </c>
    </row>
    <row r="24" spans="1:5">
      <c r="B24" t="s">
        <v>11</v>
      </c>
      <c r="C24" s="6">
        <v>5575.82</v>
      </c>
    </row>
    <row r="25" spans="1:5">
      <c r="B25" t="s">
        <v>12</v>
      </c>
      <c r="C25" t="s">
        <v>15</v>
      </c>
    </row>
    <row r="26" spans="1:5">
      <c r="B26" t="s">
        <v>13</v>
      </c>
      <c r="C26" t="s">
        <v>37</v>
      </c>
      <c r="E26" s="4" t="s">
        <v>36</v>
      </c>
    </row>
    <row r="27" spans="1:5">
      <c r="C27" t="s">
        <v>42</v>
      </c>
      <c r="E27" s="4" t="s">
        <v>43</v>
      </c>
    </row>
    <row r="29" spans="1:5">
      <c r="A29" t="s">
        <v>21</v>
      </c>
      <c r="B29" t="s">
        <v>22</v>
      </c>
    </row>
    <row r="30" spans="1:5">
      <c r="B30" t="s">
        <v>23</v>
      </c>
    </row>
    <row r="31" spans="1:5">
      <c r="B31" t="s">
        <v>24</v>
      </c>
    </row>
    <row r="32" spans="1:5">
      <c r="B32" t="s">
        <v>25</v>
      </c>
    </row>
    <row r="33" spans="1:8">
      <c r="B33" t="s">
        <v>26</v>
      </c>
    </row>
    <row r="36" spans="1:8">
      <c r="A36" t="s">
        <v>20</v>
      </c>
    </row>
    <row r="37" spans="1:8">
      <c r="A37" t="s">
        <v>6</v>
      </c>
      <c r="B37" t="s">
        <v>40</v>
      </c>
    </row>
    <row r="39" spans="1:8">
      <c r="A39" t="s">
        <v>30</v>
      </c>
      <c r="B39" t="s">
        <v>38</v>
      </c>
      <c r="D39" s="1">
        <v>45506</v>
      </c>
    </row>
    <row r="40" spans="1:8">
      <c r="B40" s="3">
        <v>4719.4799999999996</v>
      </c>
    </row>
    <row r="41" spans="1:8">
      <c r="A41" t="s">
        <v>14</v>
      </c>
      <c r="B41" t="s">
        <v>39</v>
      </c>
      <c r="H41" s="1">
        <f>D39</f>
        <v>45506</v>
      </c>
    </row>
    <row r="42" spans="1:8">
      <c r="B42" s="3">
        <v>10170.870000000001</v>
      </c>
      <c r="C42" t="s">
        <v>31</v>
      </c>
    </row>
    <row r="43" spans="1:8">
      <c r="C43" t="s">
        <v>33</v>
      </c>
    </row>
  </sheetData>
  <pageMargins left="0.7" right="0.7" top="0.75" bottom="0.75" header="0.3" footer="0.3"/>
  <pageSetup scale="9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F8C2-C862-4D92-A412-E07032B8AE87}">
  <sheetPr>
    <pageSetUpPr fitToPage="1"/>
  </sheetPr>
  <dimension ref="A1:H25"/>
  <sheetViews>
    <sheetView workbookViewId="0">
      <selection activeCell="D18" sqref="D18"/>
    </sheetView>
  </sheetViews>
  <sheetFormatPr defaultColWidth="8.7265625" defaultRowHeight="14.5"/>
  <cols>
    <col min="2" max="2" width="11.81640625" customWidth="1"/>
    <col min="3" max="3" width="10.54296875" bestFit="1" customWidth="1"/>
    <col min="4" max="4" width="11.453125" customWidth="1"/>
    <col min="5" max="5" width="9.81640625" bestFit="1" customWidth="1"/>
    <col min="8" max="9" width="9.1796875" bestFit="1" customWidth="1"/>
  </cols>
  <sheetData>
    <row r="1" spans="1:3">
      <c r="A1" s="8" t="s">
        <v>3</v>
      </c>
    </row>
    <row r="2" spans="1:3">
      <c r="A2" s="8" t="s">
        <v>4</v>
      </c>
    </row>
    <row r="4" spans="1:3">
      <c r="A4" t="s">
        <v>1</v>
      </c>
      <c r="B4" s="1">
        <v>45504</v>
      </c>
    </row>
    <row r="5" spans="1:3">
      <c r="A5" t="s">
        <v>0</v>
      </c>
      <c r="B5" t="s">
        <v>2</v>
      </c>
    </row>
    <row r="7" spans="1:3">
      <c r="A7" t="s">
        <v>5</v>
      </c>
    </row>
    <row r="9" spans="1:3" ht="15" thickBot="1">
      <c r="A9" t="s">
        <v>6</v>
      </c>
      <c r="B9">
        <v>1</v>
      </c>
      <c r="C9" t="s">
        <v>46</v>
      </c>
    </row>
    <row r="10" spans="1:3" ht="15" thickBot="1">
      <c r="B10" t="s">
        <v>9</v>
      </c>
      <c r="C10" s="11"/>
    </row>
    <row r="14" spans="1:3">
      <c r="C14" s="2"/>
    </row>
    <row r="18" spans="1:8">
      <c r="A18" t="s">
        <v>20</v>
      </c>
    </row>
    <row r="19" spans="1:8">
      <c r="A19" t="s">
        <v>6</v>
      </c>
      <c r="B19" t="s">
        <v>45</v>
      </c>
    </row>
    <row r="21" spans="1:8">
      <c r="A21" t="s">
        <v>30</v>
      </c>
      <c r="B21" t="s">
        <v>38</v>
      </c>
      <c r="D21" s="1">
        <v>45506</v>
      </c>
    </row>
    <row r="22" spans="1:8">
      <c r="B22" s="3">
        <v>4719.4799999999996</v>
      </c>
    </row>
    <row r="23" spans="1:8">
      <c r="A23" t="s">
        <v>14</v>
      </c>
      <c r="B23" t="s">
        <v>39</v>
      </c>
      <c r="H23" s="1">
        <f>D21</f>
        <v>45506</v>
      </c>
    </row>
    <row r="24" spans="1:8">
      <c r="B24" s="3">
        <v>10170.870000000001</v>
      </c>
      <c r="C24" t="s">
        <v>31</v>
      </c>
    </row>
    <row r="25" spans="1:8">
      <c r="C25" t="s">
        <v>33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99DA-3FC7-41E1-8DA4-679E9AF2D423}">
  <sheetPr>
    <pageSetUpPr fitToPage="1"/>
  </sheetPr>
  <dimension ref="A1:H25"/>
  <sheetViews>
    <sheetView topLeftCell="A4" workbookViewId="0">
      <selection activeCell="E8" sqref="E8"/>
    </sheetView>
  </sheetViews>
  <sheetFormatPr defaultColWidth="8.7265625" defaultRowHeight="14.5"/>
  <cols>
    <col min="2" max="2" width="11.81640625" customWidth="1"/>
    <col min="3" max="3" width="10.54296875" bestFit="1" customWidth="1"/>
    <col min="4" max="4" width="11.453125" customWidth="1"/>
    <col min="5" max="5" width="9.81640625" bestFit="1" customWidth="1"/>
    <col min="8" max="9" width="9.1796875" bestFit="1" customWidth="1"/>
  </cols>
  <sheetData>
    <row r="1" spans="1:5">
      <c r="A1" s="8" t="s">
        <v>3</v>
      </c>
    </row>
    <row r="2" spans="1:5">
      <c r="A2" s="8" t="s">
        <v>4</v>
      </c>
    </row>
    <row r="4" spans="1:5">
      <c r="A4" t="s">
        <v>1</v>
      </c>
      <c r="B4" s="1">
        <v>45504</v>
      </c>
    </row>
    <row r="5" spans="1:5">
      <c r="A5" t="s">
        <v>0</v>
      </c>
      <c r="B5" t="s">
        <v>2</v>
      </c>
    </row>
    <row r="7" spans="1:5">
      <c r="A7" t="s">
        <v>5</v>
      </c>
    </row>
    <row r="9" spans="1:5">
      <c r="A9" t="s">
        <v>6</v>
      </c>
      <c r="B9">
        <v>52</v>
      </c>
      <c r="C9" t="s">
        <v>34</v>
      </c>
    </row>
    <row r="10" spans="1:5">
      <c r="B10" t="s">
        <v>10</v>
      </c>
      <c r="C10">
        <v>2171</v>
      </c>
      <c r="D10" t="s">
        <v>27</v>
      </c>
      <c r="E10">
        <f>C10+51</f>
        <v>2222</v>
      </c>
    </row>
    <row r="13" spans="1:5">
      <c r="A13" t="s">
        <v>8</v>
      </c>
      <c r="B13" t="s">
        <v>9</v>
      </c>
      <c r="C13">
        <v>2223</v>
      </c>
    </row>
    <row r="14" spans="1:5">
      <c r="B14" t="s">
        <v>11</v>
      </c>
      <c r="C14" s="2">
        <v>385</v>
      </c>
    </row>
    <row r="15" spans="1:5">
      <c r="B15" t="s">
        <v>12</v>
      </c>
      <c r="C15" t="s">
        <v>44</v>
      </c>
    </row>
    <row r="18" spans="1:8">
      <c r="A18" t="s">
        <v>20</v>
      </c>
    </row>
    <row r="19" spans="1:8">
      <c r="A19" t="s">
        <v>6</v>
      </c>
      <c r="B19" t="s">
        <v>45</v>
      </c>
    </row>
    <row r="21" spans="1:8">
      <c r="A21" t="s">
        <v>30</v>
      </c>
      <c r="B21" t="s">
        <v>38</v>
      </c>
      <c r="D21" s="1">
        <v>45506</v>
      </c>
    </row>
    <row r="22" spans="1:8">
      <c r="B22" s="3">
        <v>4719.4799999999996</v>
      </c>
    </row>
    <row r="23" spans="1:8">
      <c r="A23" t="s">
        <v>14</v>
      </c>
      <c r="B23" t="s">
        <v>39</v>
      </c>
      <c r="H23" s="1">
        <f>D21</f>
        <v>45506</v>
      </c>
    </row>
    <row r="24" spans="1:8">
      <c r="B24" s="3">
        <v>10170.870000000001</v>
      </c>
      <c r="C24" t="s">
        <v>31</v>
      </c>
    </row>
    <row r="25" spans="1:8">
      <c r="C25" t="s">
        <v>33</v>
      </c>
    </row>
  </sheetData>
  <pageMargins left="0.7" right="0.7" top="0.75" bottom="0.75" header="0.3" footer="0.3"/>
  <pageSetup scale="93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4011-4094-46DB-9AB9-EB111BC8090A}">
  <dimension ref="A1:G38"/>
  <sheetViews>
    <sheetView topLeftCell="A25" workbookViewId="0">
      <selection activeCell="B30" sqref="B30"/>
    </sheetView>
  </sheetViews>
  <sheetFormatPr defaultRowHeight="14.5"/>
  <cols>
    <col min="2" max="2" width="9.54296875" bestFit="1" customWidth="1"/>
    <col min="3" max="3" width="10.54296875" bestFit="1" customWidth="1"/>
  </cols>
  <sheetData>
    <row r="1" spans="1:7">
      <c r="A1" s="8" t="s">
        <v>3</v>
      </c>
      <c r="E1" s="9"/>
      <c r="F1" s="9"/>
      <c r="G1" s="10" t="s">
        <v>41</v>
      </c>
    </row>
    <row r="2" spans="1:7">
      <c r="A2" s="8" t="s">
        <v>4</v>
      </c>
    </row>
    <row r="4" spans="1:7">
      <c r="A4" t="s">
        <v>1</v>
      </c>
      <c r="B4" s="1">
        <v>45491</v>
      </c>
    </row>
    <row r="5" spans="1:7">
      <c r="A5" t="s">
        <v>0</v>
      </c>
      <c r="B5" t="s">
        <v>2</v>
      </c>
    </row>
    <row r="7" spans="1:7">
      <c r="A7" t="s">
        <v>5</v>
      </c>
    </row>
    <row r="9" spans="1:7">
      <c r="A9" t="s">
        <v>6</v>
      </c>
      <c r="B9" t="s">
        <v>7</v>
      </c>
    </row>
    <row r="10" spans="1:7">
      <c r="B10" t="s">
        <v>10</v>
      </c>
      <c r="C10">
        <v>2101</v>
      </c>
      <c r="D10" t="s">
        <v>27</v>
      </c>
      <c r="E10">
        <v>2149</v>
      </c>
    </row>
    <row r="12" spans="1:7">
      <c r="A12" t="s">
        <v>8</v>
      </c>
      <c r="B12" t="s">
        <v>9</v>
      </c>
      <c r="C12">
        <v>2152</v>
      </c>
    </row>
    <row r="13" spans="1:7">
      <c r="B13" t="s">
        <v>11</v>
      </c>
      <c r="C13" s="2">
        <v>50</v>
      </c>
    </row>
    <row r="14" spans="1:7">
      <c r="B14" t="s">
        <v>12</v>
      </c>
      <c r="C14" t="s">
        <v>15</v>
      </c>
    </row>
    <row r="15" spans="1:7">
      <c r="B15" t="s">
        <v>13</v>
      </c>
      <c r="C15" t="s">
        <v>16</v>
      </c>
    </row>
    <row r="17" spans="1:3">
      <c r="A17" t="s">
        <v>14</v>
      </c>
      <c r="B17" t="s">
        <v>9</v>
      </c>
      <c r="C17">
        <v>2153</v>
      </c>
    </row>
    <row r="18" spans="1:3">
      <c r="B18" t="s">
        <v>11</v>
      </c>
      <c r="C18" s="2">
        <v>50</v>
      </c>
    </row>
    <row r="19" spans="1:3">
      <c r="B19" t="s">
        <v>12</v>
      </c>
      <c r="C19" t="s">
        <v>15</v>
      </c>
    </row>
    <row r="20" spans="1:3">
      <c r="B20" t="s">
        <v>13</v>
      </c>
      <c r="C20" t="s">
        <v>17</v>
      </c>
    </row>
    <row r="22" spans="1:3">
      <c r="A22" t="s">
        <v>18</v>
      </c>
      <c r="B22" t="s">
        <v>9</v>
      </c>
      <c r="C22">
        <v>2151</v>
      </c>
    </row>
    <row r="23" spans="1:3">
      <c r="B23" t="s">
        <v>11</v>
      </c>
      <c r="C23" s="3">
        <v>5566.72</v>
      </c>
    </row>
    <row r="24" spans="1:3">
      <c r="B24" t="s">
        <v>12</v>
      </c>
      <c r="C24" t="s">
        <v>15</v>
      </c>
    </row>
    <row r="25" spans="1:3">
      <c r="B25" t="s">
        <v>13</v>
      </c>
      <c r="C25" t="s">
        <v>19</v>
      </c>
    </row>
    <row r="27" spans="1:3">
      <c r="A27" t="s">
        <v>21</v>
      </c>
      <c r="B27" t="s">
        <v>22</v>
      </c>
    </row>
    <row r="28" spans="1:3">
      <c r="B28" t="s">
        <v>23</v>
      </c>
    </row>
    <row r="29" spans="1:3">
      <c r="B29" t="s">
        <v>24</v>
      </c>
    </row>
    <row r="30" spans="1:3">
      <c r="B30" t="s">
        <v>25</v>
      </c>
    </row>
    <row r="31" spans="1:3">
      <c r="B31" t="s">
        <v>26</v>
      </c>
    </row>
    <row r="33" spans="1:4">
      <c r="A33" t="s">
        <v>20</v>
      </c>
    </row>
    <row r="34" spans="1:4">
      <c r="B34" t="s">
        <v>6</v>
      </c>
      <c r="C34" t="s">
        <v>29</v>
      </c>
    </row>
    <row r="35" spans="1:4">
      <c r="B35" t="s">
        <v>30</v>
      </c>
      <c r="C35" t="s">
        <v>28</v>
      </c>
    </row>
    <row r="36" spans="1:4">
      <c r="C36" s="3">
        <v>4824.22</v>
      </c>
      <c r="D36" t="s">
        <v>31</v>
      </c>
    </row>
    <row r="37" spans="1:4">
      <c r="B37" t="s">
        <v>14</v>
      </c>
      <c r="C37" t="s">
        <v>32</v>
      </c>
    </row>
    <row r="38" spans="1:4">
      <c r="C38" s="3">
        <v>10129.42</v>
      </c>
      <c r="D38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29</vt:i4>
      </vt:variant>
    </vt:vector>
  </HeadingPairs>
  <TitlesOfParts>
    <vt:vector size="65" baseType="lpstr">
      <vt:lpstr>2025.11.06</vt:lpstr>
      <vt:lpstr>2025.10.22</vt:lpstr>
      <vt:lpstr>2025.10.09</vt:lpstr>
      <vt:lpstr>2025.09.24</vt:lpstr>
      <vt:lpstr>2025.08.13</vt:lpstr>
      <vt:lpstr>2025.07.29</vt:lpstr>
      <vt:lpstr>2025.07.16</vt:lpstr>
      <vt:lpstr>2025.07.02</vt:lpstr>
      <vt:lpstr>2025.06.17</vt:lpstr>
      <vt:lpstr>2025.05.21 (2)</vt:lpstr>
      <vt:lpstr>2025.05.21</vt:lpstr>
      <vt:lpstr>2025.05.07</vt:lpstr>
      <vt:lpstr>2025.04.23</vt:lpstr>
      <vt:lpstr>2025.04.09</vt:lpstr>
      <vt:lpstr>2025.03.26</vt:lpstr>
      <vt:lpstr>2025.03.12 updated</vt:lpstr>
      <vt:lpstr>2025.03.12</vt:lpstr>
      <vt:lpstr>2025.02.27 Updated</vt:lpstr>
      <vt:lpstr>2025.02.27</vt:lpstr>
      <vt:lpstr>2025.02.12</vt:lpstr>
      <vt:lpstr>2025.01.29</vt:lpstr>
      <vt:lpstr>2025.01.15</vt:lpstr>
      <vt:lpstr>2025.01.01</vt:lpstr>
      <vt:lpstr>2024.12.04</vt:lpstr>
      <vt:lpstr>2024.11.20</vt:lpstr>
      <vt:lpstr>2024.11.06</vt:lpstr>
      <vt:lpstr>2024.10.23</vt:lpstr>
      <vt:lpstr>2024.10.09</vt:lpstr>
      <vt:lpstr>2024.09.24</vt:lpstr>
      <vt:lpstr>2024.09.11</vt:lpstr>
      <vt:lpstr>2024.08.28</vt:lpstr>
      <vt:lpstr>2024.08.15</vt:lpstr>
      <vt:lpstr>2024.07.31b</vt:lpstr>
      <vt:lpstr>2024.07.31a2</vt:lpstr>
      <vt:lpstr>2024.07.31a</vt:lpstr>
      <vt:lpstr>2024.07.18</vt:lpstr>
      <vt:lpstr>'2024.07.31a2'!Print_Area</vt:lpstr>
      <vt:lpstr>'2024.10.09'!Print_Area</vt:lpstr>
      <vt:lpstr>'2024.10.23'!Print_Area</vt:lpstr>
      <vt:lpstr>'2024.11.06'!Print_Area</vt:lpstr>
      <vt:lpstr>'2024.11.20'!Print_Area</vt:lpstr>
      <vt:lpstr>'2024.12.04'!Print_Area</vt:lpstr>
      <vt:lpstr>'2025.01.01'!Print_Area</vt:lpstr>
      <vt:lpstr>'2025.01.15'!Print_Area</vt:lpstr>
      <vt:lpstr>'2025.01.29'!Print_Area</vt:lpstr>
      <vt:lpstr>'2025.02.12'!Print_Area</vt:lpstr>
      <vt:lpstr>'2025.02.27'!Print_Area</vt:lpstr>
      <vt:lpstr>'2025.02.27 Updated'!Print_Area</vt:lpstr>
      <vt:lpstr>'2025.03.12'!Print_Area</vt:lpstr>
      <vt:lpstr>'2025.03.12 updated'!Print_Area</vt:lpstr>
      <vt:lpstr>'2025.03.26'!Print_Area</vt:lpstr>
      <vt:lpstr>'2025.04.09'!Print_Area</vt:lpstr>
      <vt:lpstr>'2025.04.23'!Print_Area</vt:lpstr>
      <vt:lpstr>'2025.05.07'!Print_Area</vt:lpstr>
      <vt:lpstr>'2025.05.21'!Print_Area</vt:lpstr>
      <vt:lpstr>'2025.05.21 (2)'!Print_Area</vt:lpstr>
      <vt:lpstr>'2025.06.17'!Print_Area</vt:lpstr>
      <vt:lpstr>'2025.07.02'!Print_Area</vt:lpstr>
      <vt:lpstr>'2025.07.16'!Print_Area</vt:lpstr>
      <vt:lpstr>'2025.07.29'!Print_Area</vt:lpstr>
      <vt:lpstr>'2025.08.13'!Print_Area</vt:lpstr>
      <vt:lpstr>'2025.09.24'!Print_Area</vt:lpstr>
      <vt:lpstr>'2025.10.09'!Print_Area</vt:lpstr>
      <vt:lpstr>'2025.10.22'!Print_Area</vt:lpstr>
      <vt:lpstr>'2025.11.06'!Print_Area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Dafne Shimizu</dc:creator>
  <cp:lastModifiedBy>Dafne Shimizu</cp:lastModifiedBy>
  <cp:lastPrinted>2025-07-15T13:20:00Z</cp:lastPrinted>
  <dcterms:created xsi:type="dcterms:W3CDTF">2024-07-17T19:15:27Z</dcterms:created>
  <dcterms:modified xsi:type="dcterms:W3CDTF">2025-11-05T18:09:08Z</dcterms:modified>
</cp:coreProperties>
</file>