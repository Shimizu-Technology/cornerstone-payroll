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47CAEF-CDC9-487F-8B0C-77282EB97A9D}" xr6:coauthVersionLast="47" xr6:coauthVersionMax="47" xr10:uidLastSave="{00000000-0000-0000-0000-000000000000}"/>
  <bookViews>
    <workbookView xWindow="-120" yWindow="-120" windowWidth="29040" windowHeight="15720" activeTab="2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54" i="9"/>
  <c r="F29" i="7" l="1"/>
  <c r="F9" i="8"/>
  <c r="H9" i="8"/>
  <c r="G9" i="8"/>
  <c r="C2" i="8"/>
  <c r="I9" i="8" l="1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8" i="9" l="1"/>
  <c r="A25" i="6" l="1"/>
  <c r="A26" i="6" s="1"/>
  <c r="A27" i="6" s="1"/>
  <c r="A31" i="6" s="1"/>
  <c r="A28" i="6" s="1"/>
  <c r="A29" i="6" s="1"/>
  <c r="A6" i="6" s="1"/>
  <c r="A7" i="6" s="1"/>
  <c r="A14" i="7" l="1"/>
  <c r="A17" i="7"/>
  <c r="A18" i="7" s="1"/>
  <c r="A19" i="7" s="1"/>
  <c r="A15" i="7" l="1"/>
  <c r="A5" i="7"/>
  <c r="A11" i="7" s="1"/>
  <c r="A15" i="6" l="1"/>
  <c r="A12" i="6"/>
  <c r="A13" i="6" s="1"/>
  <c r="A16" i="6" l="1"/>
  <c r="A17" i="6" s="1"/>
  <c r="A19" i="6" s="1"/>
  <c r="A22" i="6" l="1"/>
  <c r="A21" i="7"/>
  <c r="A22" i="7" s="1"/>
  <c r="A20" i="6" l="1"/>
  <c r="A9" i="6" s="1"/>
  <c r="A23" i="6" s="1"/>
</calcChain>
</file>

<file path=xl/sharedStrings.xml><?xml version="1.0" encoding="utf-8"?>
<sst xmlns="http://schemas.openxmlformats.org/spreadsheetml/2006/main" count="555" uniqueCount="204">
  <si>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</si>
  <si>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</si>
  <si>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</si>
  <si>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</si>
  <si>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</si>
  <si>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</si>
  <si>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</si>
  <si>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</si>
  <si>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</si>
  <si>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</si>
  <si>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</si>
  <si>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</si>
  <si>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</si>
  <si>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</si>
  <si>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</si>
  <si>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</si>
  <si>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</si>
  <si>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</si>
  <si>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</si>
  <si>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</si>
  <si>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</si>
  <si>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</si>
  <si>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</si>
  <si>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</si>
  <si>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</si>
  <si>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</si>
  <si>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</si>
  <si>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</si>
  <si>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</si>
  <si>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</si>
  <si>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</si>
  <si>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</si>
  <si>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</si>
  <si>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</si>
  <si>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</si>
  <si>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</si>
  <si>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</si>
  <si>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</si>
  <si>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</si>
  <si>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</si>
  <si>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</si>
  <si>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</si>
  <si>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</si>
  <si>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</si>
  <si>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</si>
  <si>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</si>
  <si>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</si>
  <si>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</si>
  <si>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</si>
  <si>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</si>
  <si>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</si>
  <si>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</si>
  <si>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</si>
  <si>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</si>
  <si>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</si>
  <si>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</si>
  <si>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</si>
  <si>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</si>
  <si>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</si>
  <si>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</si>
  <si>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</si>
  <si>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</si>
  <si>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</si>
  <si>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</si>
  <si>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</si>
  <si>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</si>
  <si>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</si>
  <si>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</si>
  <si>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</si>
  <si>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</si>
  <si>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</si>
  <si>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</si>
  <si>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</si>
  <si>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</si>
  <si>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</si>
  <si>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</si>
  <si>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</si>
  <si>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</si>
  <si>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</si>
  <si>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</si>
  <si>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</si>
  <si>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</si>
  <si>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</si>
  <si>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</si>
  <si>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</si>
  <si>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</si>
  <si>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</si>
  <si>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</si>
  <si>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</si>
  <si>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</si>
  <si>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</si>
  <si>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</si>
  <si>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</si>
  <si>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</si>
  <si>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</si>
  <si>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</si>
  <si>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</si>
  <si>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</si>
  <si>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</si>
  <si>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</si>
  <si>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</si>
  <si>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</si>
  <si>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</si>
  <si>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</si>
  <si>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</si>
  <si>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</si>
  <si>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</si>
  <si>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</si>
  <si>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</si>
  <si>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</si>
  <si>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</si>
  <si>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</si>
  <si>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</si>
  <si>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</si>
  <si>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</si>
  <si>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</si>
  <si>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</si>
  <si>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</si>
  <si>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</si>
  <si>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</si>
  <si>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</si>
  <si>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</si>
  <si>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</si>
  <si>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</si>
  <si>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</si>
  <si>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</si>
  <si>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</si>
  <si>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</si>
  <si>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</si>
  <si>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</si>
  <si>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</si>
  <si>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</si>
  <si>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</si>
  <si>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</si>
  <si>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</si>
  <si>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</si>
  <si>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</si>
  <si>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</si>
  <si>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</si>
  <si>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</si>
  <si>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</si>
  <si>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</si>
  <si>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</si>
  <si>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</si>
  <si>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</si>
  <si>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</si>
  <si>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</si>
  <si>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</si>
  <si>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</si>
  <si>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</si>
  <si>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</si>
  <si>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</si>
  <si>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</si>
  <si>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</si>
  <si>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</si>
  <si>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</si>
  <si>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</si>
  <si>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</si>
  <si>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</si>
  <si>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</si>
  <si>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</si>
  <si>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</si>
  <si>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</si>
  <si>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</si>
  <si>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</si>
  <si>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</si>
  <si>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</si>
  <si>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</si>
  <si>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</si>
  <si>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George</t>
  </si>
  <si>
    <t>Setik</t>
  </si>
  <si>
    <t>Kaya</t>
  </si>
  <si>
    <t>Tubiera</t>
  </si>
  <si>
    <t>J-one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</si>
  <si>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</si>
  <si>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</si>
  <si>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</si>
  <si>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</si>
  <si>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</si>
  <si>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</si>
  <si>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</si>
  <si>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</si>
  <si>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</si>
  <si>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</si>
  <si>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</si>
  <si>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</si>
  <si>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</si>
  <si>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</si>
  <si>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</si>
  <si>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</si>
  <si>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</si>
  <si>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J-One</t>
  </si>
  <si>
    <t>Aaron</t>
  </si>
  <si>
    <t>Florensa</t>
  </si>
  <si>
    <t>Luke</t>
  </si>
  <si>
    <t>Dorothy</t>
  </si>
  <si>
    <t>Nikonas</t>
  </si>
  <si>
    <t>Flo</t>
  </si>
  <si>
    <t>Conecpcion</t>
  </si>
  <si>
    <t>Rold</t>
  </si>
  <si>
    <t>Connie</t>
  </si>
  <si>
    <t>Talley</t>
  </si>
  <si>
    <t>Whiting</t>
  </si>
  <si>
    <t>Beginning Balance as of PPE 3/21/2026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</si>
</sst>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  <xf numFmtId="44" fontId="8" fillId="5" borderId="1" xfId="1" applyFont="1" applyFill="1" applyBorder="1" applyAlignment="1">
      <alignment horizontal="center" wrapText="1"/>
    </xf>
    <xf numFmtId="44" fontId="5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opLeftCell="A10" zoomScale="110" zoomScaleNormal="110" workbookViewId="0">
      <selection activeCell="B32" sqref="B32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11" x14ac:dyDescent="0.25">
      <c r="A1" s="1" t="s">
        <v>121</v>
      </c>
      <c r="F1"/>
    </row>
    <row r="2" spans="1:11" x14ac:dyDescent="0.25">
      <c r="A2" s="2" t="s">
        <v>122</v>
      </c>
      <c r="B2" s="2"/>
      <c r="C2" s="23">
        <v>46116</v>
      </c>
    </row>
    <row r="3" spans="1:11" x14ac:dyDescent="0.25">
      <c r="A3" s="2" t="s">
        <v>123</v>
      </c>
      <c r="B3" s="2"/>
      <c r="C3" s="23">
        <v>46121</v>
      </c>
    </row>
    <row r="4" spans="1:11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1" s="22" customFormat="1" ht="15.75" x14ac:dyDescent="0.25">
      <c r="A5" s="7">
        <v>1</v>
      </c>
      <c r="B5" s="4"/>
      <c r="C5" s="4" t="s">
        <v>166</v>
      </c>
      <c r="D5" s="4" t="s">
        <v>167</v>
      </c>
      <c r="E5" s="7" t="s">
        <v>11</v>
      </c>
      <c r="F5" s="46">
        <v>86.34</v>
      </c>
      <c r="G5" s="8"/>
      <c r="H5" s="8"/>
      <c r="I5" s="8"/>
      <c r="J5" s="8"/>
      <c r="K5" s="8"/>
    </row>
    <row r="6" spans="1:11" s="8" customFormat="1" ht="15.75" x14ac:dyDescent="0.25">
      <c r="A6" s="7">
        <f>A5+1</f>
        <v>2</v>
      </c>
      <c r="B6" s="4"/>
      <c r="C6" s="4" t="s">
        <v>185</v>
      </c>
      <c r="D6" s="4" t="s">
        <v>184</v>
      </c>
      <c r="E6" s="7" t="s">
        <v>11</v>
      </c>
      <c r="F6" s="46">
        <v>162.46</v>
      </c>
    </row>
    <row r="7" spans="1:11" s="8" customFormat="1" ht="15.75" x14ac:dyDescent="0.25">
      <c r="A7" s="7">
        <f>A6+1</f>
        <v>3</v>
      </c>
      <c r="B7" s="4" t="s">
        <v>73</v>
      </c>
      <c r="C7" s="4" t="s">
        <v>74</v>
      </c>
      <c r="D7" s="4" t="s">
        <v>75</v>
      </c>
      <c r="E7" s="7" t="s">
        <v>11</v>
      </c>
      <c r="F7" s="46">
        <v>172.35</v>
      </c>
    </row>
    <row r="8" spans="1:11" s="8" customFormat="1" ht="15.75" x14ac:dyDescent="0.25">
      <c r="A8" s="7">
        <v>4</v>
      </c>
      <c r="B8" s="4" t="s">
        <v>136</v>
      </c>
      <c r="C8" s="4" t="s">
        <v>76</v>
      </c>
      <c r="D8" s="4" t="s">
        <v>155</v>
      </c>
      <c r="E8" s="7" t="s">
        <v>11</v>
      </c>
      <c r="F8" s="46">
        <v>214.35</v>
      </c>
    </row>
    <row r="9" spans="1:11" s="8" customFormat="1" ht="15.75" x14ac:dyDescent="0.25">
      <c r="A9" s="7">
        <f>A8+1</f>
        <v>5</v>
      </c>
      <c r="B9" s="4" t="s">
        <v>200</v>
      </c>
      <c r="C9" s="4" t="s">
        <v>199</v>
      </c>
      <c r="D9" s="4" t="s">
        <v>198</v>
      </c>
      <c r="E9" s="7" t="s">
        <v>11</v>
      </c>
      <c r="F9" s="46">
        <v>80.239999999999995</v>
      </c>
    </row>
    <row r="10" spans="1:11" s="8" customFormat="1" ht="15.75" x14ac:dyDescent="0.25">
      <c r="A10" s="7">
        <v>5</v>
      </c>
      <c r="B10" s="4"/>
      <c r="C10" s="4" t="s">
        <v>21</v>
      </c>
      <c r="D10" s="4" t="s">
        <v>22</v>
      </c>
      <c r="E10" s="7" t="s">
        <v>11</v>
      </c>
      <c r="F10" s="46">
        <v>39.53</v>
      </c>
    </row>
    <row r="11" spans="1:11" s="8" customFormat="1" ht="15.75" x14ac:dyDescent="0.25">
      <c r="A11" s="7">
        <v>15</v>
      </c>
      <c r="B11" s="4"/>
      <c r="C11" s="4" t="s">
        <v>196</v>
      </c>
      <c r="D11" s="4" t="s">
        <v>195</v>
      </c>
      <c r="E11" s="7" t="s">
        <v>11</v>
      </c>
      <c r="F11" s="46">
        <v>41.91</v>
      </c>
    </row>
    <row r="12" spans="1:11" s="8" customFormat="1" ht="15.75" x14ac:dyDescent="0.25">
      <c r="A12" s="7">
        <f>A11+1</f>
        <v>16</v>
      </c>
      <c r="B12" s="4"/>
      <c r="C12" s="4" t="s">
        <v>32</v>
      </c>
      <c r="D12" s="4" t="s">
        <v>33</v>
      </c>
      <c r="E12" s="7" t="s">
        <v>11</v>
      </c>
      <c r="F12" s="46">
        <v>183.54</v>
      </c>
    </row>
    <row r="13" spans="1:11" s="8" customFormat="1" ht="15.75" x14ac:dyDescent="0.25">
      <c r="A13" s="7">
        <f>A12+1</f>
        <v>17</v>
      </c>
      <c r="B13" s="4" t="s">
        <v>116</v>
      </c>
      <c r="C13" s="4" t="s">
        <v>117</v>
      </c>
      <c r="D13" s="4" t="s">
        <v>118</v>
      </c>
      <c r="E13" s="7" t="s">
        <v>11</v>
      </c>
      <c r="F13" s="47">
        <v>188.76</v>
      </c>
    </row>
    <row r="14" spans="1:11" s="8" customFormat="1" ht="15.75" x14ac:dyDescent="0.25">
      <c r="A14" s="7">
        <v>8</v>
      </c>
      <c r="B14" s="4" t="s">
        <v>197</v>
      </c>
      <c r="C14" s="4" t="s">
        <v>194</v>
      </c>
      <c r="D14" s="4" t="s">
        <v>193</v>
      </c>
      <c r="E14" s="7" t="s">
        <v>11</v>
      </c>
      <c r="F14" s="46">
        <v>17.27</v>
      </c>
    </row>
    <row r="15" spans="1:11" s="8" customFormat="1" ht="15.75" x14ac:dyDescent="0.25">
      <c r="A15" s="7">
        <f>A14+1</f>
        <v>9</v>
      </c>
      <c r="B15" s="4"/>
      <c r="C15" s="4" t="s">
        <v>48</v>
      </c>
      <c r="D15" s="4" t="s">
        <v>49</v>
      </c>
      <c r="E15" s="7" t="s">
        <v>11</v>
      </c>
      <c r="F15" s="46">
        <v>131.88999999999999</v>
      </c>
    </row>
    <row r="16" spans="1:11" s="8" customFormat="1" ht="15.75" x14ac:dyDescent="0.25">
      <c r="A16" s="7">
        <f>A15+1</f>
        <v>10</v>
      </c>
      <c r="B16" s="4"/>
      <c r="C16" s="4" t="s">
        <v>69</v>
      </c>
      <c r="D16" s="4" t="s">
        <v>70</v>
      </c>
      <c r="E16" s="7" t="s">
        <v>11</v>
      </c>
      <c r="F16" s="46">
        <v>180.81</v>
      </c>
    </row>
    <row r="17" spans="1:11" s="8" customFormat="1" ht="15.75" x14ac:dyDescent="0.25">
      <c r="A17" s="7">
        <f>A16+1</f>
        <v>11</v>
      </c>
      <c r="B17" s="3"/>
      <c r="C17" s="3" t="s">
        <v>102</v>
      </c>
      <c r="D17" s="3" t="s">
        <v>191</v>
      </c>
      <c r="E17" s="7" t="s">
        <v>11</v>
      </c>
      <c r="F17" s="46">
        <v>96.89</v>
      </c>
    </row>
    <row r="18" spans="1:11" s="8" customFormat="1" ht="15.75" x14ac:dyDescent="0.25">
      <c r="A18" s="7">
        <v>12</v>
      </c>
      <c r="B18" s="4"/>
      <c r="C18" s="4" t="s">
        <v>183</v>
      </c>
      <c r="D18" s="4" t="s">
        <v>182</v>
      </c>
      <c r="E18" s="7" t="s">
        <v>11</v>
      </c>
      <c r="F18" s="54">
        <v>195.06</v>
      </c>
    </row>
    <row r="19" spans="1:11" s="8" customFormat="1" ht="15.75" x14ac:dyDescent="0.25">
      <c r="A19" s="7">
        <f>A18+1</f>
        <v>13</v>
      </c>
      <c r="B19" s="4"/>
      <c r="C19" s="4" t="s">
        <v>181</v>
      </c>
      <c r="D19" s="4" t="s">
        <v>180</v>
      </c>
      <c r="E19" s="7" t="s">
        <v>11</v>
      </c>
      <c r="F19" s="47">
        <v>78.97</v>
      </c>
    </row>
    <row r="20" spans="1:11" s="8" customFormat="1" ht="15.75" x14ac:dyDescent="0.25">
      <c r="A20" s="7">
        <f>A19+1</f>
        <v>14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202.24</v>
      </c>
    </row>
    <row r="21" spans="1:11" s="8" customFormat="1" ht="15.75" x14ac:dyDescent="0.25">
      <c r="A21" s="7">
        <v>14</v>
      </c>
      <c r="B21" s="4"/>
      <c r="C21" s="4" t="s">
        <v>202</v>
      </c>
      <c r="D21" s="4" t="s">
        <v>201</v>
      </c>
      <c r="E21" s="7" t="s">
        <v>11</v>
      </c>
      <c r="F21" s="46">
        <v>114.79</v>
      </c>
    </row>
    <row r="22" spans="1:11" s="8" customFormat="1" ht="15.75" x14ac:dyDescent="0.25">
      <c r="A22" s="7">
        <f>A21+1</f>
        <v>15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121.3</v>
      </c>
    </row>
    <row r="23" spans="1:11" s="8" customFormat="1" ht="15.75" x14ac:dyDescent="0.25">
      <c r="A23" s="7">
        <f>A22+1</f>
        <v>16</v>
      </c>
      <c r="B23" s="4"/>
      <c r="C23" s="4" t="s">
        <v>42</v>
      </c>
      <c r="D23" s="4" t="s">
        <v>43</v>
      </c>
      <c r="E23" s="7" t="s">
        <v>11</v>
      </c>
      <c r="F23" s="46">
        <v>138.04</v>
      </c>
    </row>
    <row r="24" spans="1:11" s="8" customFormat="1" ht="15.75" x14ac:dyDescent="0.25">
      <c r="A24" s="7">
        <v>20</v>
      </c>
      <c r="B24" s="4" t="s">
        <v>160</v>
      </c>
      <c r="C24" s="4" t="s">
        <v>159</v>
      </c>
      <c r="D24" s="4" t="s">
        <v>158</v>
      </c>
      <c r="E24" s="7" t="s">
        <v>11</v>
      </c>
      <c r="F24" s="46">
        <v>77.680000000000007</v>
      </c>
    </row>
    <row r="25" spans="1:11" s="8" customFormat="1" ht="15.75" x14ac:dyDescent="0.25">
      <c r="A25" s="7">
        <f>A24+1</f>
        <v>21</v>
      </c>
      <c r="B25" s="4"/>
      <c r="C25" s="4" t="s">
        <v>113</v>
      </c>
      <c r="D25" s="4" t="s">
        <v>115</v>
      </c>
      <c r="E25" s="7" t="s">
        <v>11</v>
      </c>
      <c r="F25" s="47">
        <v>89.34</v>
      </c>
    </row>
    <row r="26" spans="1:11" s="8" customFormat="1" ht="15.75" x14ac:dyDescent="0.25">
      <c r="A26" s="7">
        <f>A25+1</f>
        <v>22</v>
      </c>
      <c r="B26" s="4"/>
      <c r="C26" s="4" t="s">
        <v>153</v>
      </c>
      <c r="D26" s="4" t="s">
        <v>154</v>
      </c>
      <c r="E26" s="7" t="s">
        <v>11</v>
      </c>
      <c r="F26" s="47">
        <v>5.22</v>
      </c>
    </row>
    <row r="27" spans="1:11" s="8" customFormat="1" ht="15.75" x14ac:dyDescent="0.25">
      <c r="A27" s="7">
        <f>A26+1</f>
        <v>23</v>
      </c>
      <c r="B27" s="4"/>
      <c r="C27" s="4" t="s">
        <v>48</v>
      </c>
      <c r="D27" s="4" t="s">
        <v>50</v>
      </c>
      <c r="E27" s="7" t="s">
        <v>11</v>
      </c>
      <c r="F27" s="46">
        <v>173.33</v>
      </c>
    </row>
    <row r="28" spans="1:11" s="8" customFormat="1" ht="15.75" x14ac:dyDescent="0.25">
      <c r="A28" s="7">
        <f>A27+1</f>
        <v>24</v>
      </c>
      <c r="B28" s="4"/>
      <c r="C28" s="4" t="s">
        <v>44</v>
      </c>
      <c r="D28" s="4" t="s">
        <v>45</v>
      </c>
      <c r="E28" s="7" t="s">
        <v>11</v>
      </c>
      <c r="F28" s="46">
        <v>87.55</v>
      </c>
    </row>
    <row r="29" spans="1:11" s="8" customFormat="1" ht="15.75" x14ac:dyDescent="0.25">
      <c r="A29" s="7">
        <f>A28+1</f>
        <v>25</v>
      </c>
      <c r="B29" s="4"/>
      <c r="C29" s="4" t="s">
        <v>65</v>
      </c>
      <c r="D29" s="4" t="s">
        <v>66</v>
      </c>
      <c r="E29" s="7" t="s">
        <v>11</v>
      </c>
      <c r="F29" s="46">
        <v>98.85</v>
      </c>
    </row>
    <row r="30" spans="1:11" s="8" customFormat="1" ht="15.75" x14ac:dyDescent="0.25">
      <c r="A30" s="7">
        <v>27</v>
      </c>
      <c r="B30" s="4" t="s">
        <v>8</v>
      </c>
      <c r="C30" s="4" t="s">
        <v>9</v>
      </c>
      <c r="D30" s="4" t="s">
        <v>10</v>
      </c>
      <c r="E30" s="7" t="s">
        <v>11</v>
      </c>
      <c r="F30" s="46">
        <v>93.52</v>
      </c>
      <c r="K30" s="41"/>
    </row>
    <row r="31" spans="1:11" s="8" customFormat="1" ht="15.75" x14ac:dyDescent="0.25">
      <c r="A31" s="7">
        <f>A30+1</f>
        <v>28</v>
      </c>
      <c r="B31" s="4" t="s">
        <v>29</v>
      </c>
      <c r="C31" s="4" t="s">
        <v>30</v>
      </c>
      <c r="D31" s="4" t="s">
        <v>31</v>
      </c>
      <c r="E31" s="7" t="s">
        <v>11</v>
      </c>
      <c r="F31" s="46">
        <v>5.39</v>
      </c>
    </row>
    <row r="32" spans="1:11" s="8" customFormat="1" ht="15.75" x14ac:dyDescent="0.25">
      <c r="A32" s="6"/>
      <c r="B32" s="21"/>
      <c r="C32" s="21"/>
      <c r="D32" s="21"/>
      <c r="E32" s="6"/>
      <c r="F32" s="24"/>
      <c r="G32" s="22"/>
      <c r="H32" s="22"/>
      <c r="I32" s="22"/>
      <c r="J32" s="22"/>
      <c r="K32" s="22"/>
    </row>
    <row r="33" spans="1:6" s="8" customFormat="1" ht="15.75" x14ac:dyDescent="0.25">
      <c r="B33" s="44"/>
      <c r="C33" s="44"/>
      <c r="D33" s="44"/>
      <c r="F33" s="3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82">
        <f>SUM(F5:F33)</f>
        <v>3077.6199999999994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5:K32">
    <sortCondition ref="D5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8" sqref="F28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59"/>
    </row>
    <row r="2" spans="1:10" x14ac:dyDescent="0.25">
      <c r="A2" s="2" t="s">
        <v>122</v>
      </c>
      <c r="B2" s="2"/>
      <c r="C2" s="23">
        <v>46116</v>
      </c>
      <c r="F2" s="59"/>
    </row>
    <row r="3" spans="1:10" x14ac:dyDescent="0.25">
      <c r="A3" s="2" t="s">
        <v>123</v>
      </c>
      <c r="B3" s="2"/>
      <c r="C3" s="23">
        <v>46121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f>A4+1</f>
        <v>1</v>
      </c>
      <c r="B5" s="4"/>
      <c r="C5" s="4" t="s">
        <v>90</v>
      </c>
      <c r="D5" s="4" t="s">
        <v>192</v>
      </c>
      <c r="E5" s="7" t="s">
        <v>14</v>
      </c>
      <c r="F5" s="46">
        <v>1482.7</v>
      </c>
    </row>
    <row r="6" spans="1:10" s="8" customFormat="1" ht="15.75" x14ac:dyDescent="0.25">
      <c r="A6" s="7">
        <v>1</v>
      </c>
      <c r="B6" s="4"/>
      <c r="C6" s="4" t="s">
        <v>17</v>
      </c>
      <c r="D6" s="4" t="s">
        <v>176</v>
      </c>
      <c r="E6" s="7" t="s">
        <v>14</v>
      </c>
      <c r="F6" s="47">
        <v>53.08</v>
      </c>
    </row>
    <row r="7" spans="1:10" s="8" customFormat="1" ht="15.75" x14ac:dyDescent="0.25">
      <c r="A7" s="7">
        <v>2</v>
      </c>
      <c r="B7" s="4"/>
      <c r="C7" s="4" t="s">
        <v>39</v>
      </c>
      <c r="D7" s="4" t="s">
        <v>40</v>
      </c>
      <c r="E7" s="7" t="s">
        <v>14</v>
      </c>
      <c r="F7" s="46">
        <v>939.31</v>
      </c>
    </row>
    <row r="8" spans="1:10" s="8" customFormat="1" ht="15.75" x14ac:dyDescent="0.25">
      <c r="A8" s="7">
        <v>3</v>
      </c>
      <c r="B8" s="4"/>
      <c r="C8" s="4" t="s">
        <v>17</v>
      </c>
      <c r="D8" s="4" t="s">
        <v>18</v>
      </c>
      <c r="E8" s="7" t="s">
        <v>14</v>
      </c>
      <c r="F8" s="46">
        <v>968.85</v>
      </c>
    </row>
    <row r="9" spans="1:10" s="8" customFormat="1" ht="15.75" x14ac:dyDescent="0.25">
      <c r="A9" s="52">
        <v>4</v>
      </c>
      <c r="B9" s="4" t="s">
        <v>145</v>
      </c>
      <c r="C9" s="4" t="s">
        <v>146</v>
      </c>
      <c r="D9" s="4" t="s">
        <v>147</v>
      </c>
      <c r="E9" s="51" t="s">
        <v>14</v>
      </c>
      <c r="F9" s="53">
        <v>1182.0999999999999</v>
      </c>
      <c r="G9" s="22"/>
      <c r="H9" s="22"/>
      <c r="I9" s="22"/>
      <c r="J9" s="22"/>
    </row>
    <row r="10" spans="1:10" s="8" customFormat="1" ht="15.75" x14ac:dyDescent="0.25">
      <c r="A10" s="7">
        <v>5</v>
      </c>
      <c r="B10" s="4" t="s">
        <v>135</v>
      </c>
      <c r="C10" s="4" t="s">
        <v>76</v>
      </c>
      <c r="D10" s="4" t="s">
        <v>78</v>
      </c>
      <c r="E10" s="7" t="s">
        <v>14</v>
      </c>
      <c r="F10" s="46">
        <v>550.76</v>
      </c>
    </row>
    <row r="11" spans="1:10" s="8" customFormat="1" ht="15.75" x14ac:dyDescent="0.25">
      <c r="A11" s="7">
        <f>A10+1</f>
        <v>6</v>
      </c>
      <c r="B11" s="4"/>
      <c r="C11" s="4" t="s">
        <v>79</v>
      </c>
      <c r="D11" s="4" t="s">
        <v>80</v>
      </c>
      <c r="E11" s="7" t="s">
        <v>14</v>
      </c>
      <c r="F11" s="46">
        <v>284.97000000000003</v>
      </c>
    </row>
    <row r="12" spans="1:10" s="8" customFormat="1" ht="15.75" x14ac:dyDescent="0.25">
      <c r="A12" s="40">
        <v>8</v>
      </c>
      <c r="B12" s="3" t="s">
        <v>148</v>
      </c>
      <c r="C12" s="3" t="s">
        <v>149</v>
      </c>
      <c r="D12" s="3" t="s">
        <v>150</v>
      </c>
      <c r="E12" s="7" t="s">
        <v>14</v>
      </c>
      <c r="F12" s="53">
        <v>38.81</v>
      </c>
    </row>
    <row r="13" spans="1:10" s="8" customFormat="1" ht="15.75" x14ac:dyDescent="0.25">
      <c r="A13" s="7">
        <v>9</v>
      </c>
      <c r="B13" s="4" t="s">
        <v>26</v>
      </c>
      <c r="C13" s="4" t="s">
        <v>138</v>
      </c>
      <c r="D13" s="4" t="s">
        <v>152</v>
      </c>
      <c r="E13" s="7" t="s">
        <v>151</v>
      </c>
      <c r="F13" s="46">
        <v>984.82</v>
      </c>
    </row>
    <row r="14" spans="1:10" s="8" customFormat="1" ht="15.75" x14ac:dyDescent="0.25">
      <c r="A14" s="7">
        <f>A13+1</f>
        <v>10</v>
      </c>
      <c r="B14" s="4"/>
      <c r="C14" s="4" t="s">
        <v>170</v>
      </c>
      <c r="D14" s="4" t="s">
        <v>169</v>
      </c>
      <c r="E14" s="7" t="s">
        <v>14</v>
      </c>
      <c r="F14" s="46">
        <v>90.69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927.37</v>
      </c>
    </row>
    <row r="16" spans="1:10" s="8" customFormat="1" ht="15.75" x14ac:dyDescent="0.25">
      <c r="A16" s="7">
        <v>12</v>
      </c>
      <c r="B16" s="4"/>
      <c r="C16" s="4" t="s">
        <v>157</v>
      </c>
      <c r="D16" s="4" t="s">
        <v>156</v>
      </c>
      <c r="E16" s="7" t="s">
        <v>14</v>
      </c>
      <c r="F16" s="46">
        <v>104.67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832.13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137</v>
      </c>
      <c r="E18" s="7" t="s">
        <v>14</v>
      </c>
      <c r="F18" s="46">
        <v>1305.2</v>
      </c>
    </row>
    <row r="19" spans="1:10" s="8" customFormat="1" ht="15.75" x14ac:dyDescent="0.25">
      <c r="A19" s="7">
        <f>A18+1</f>
        <v>15</v>
      </c>
      <c r="B19" s="4"/>
      <c r="C19" s="4" t="s">
        <v>172</v>
      </c>
      <c r="D19" s="4" t="s">
        <v>171</v>
      </c>
      <c r="E19" s="7" t="s">
        <v>14</v>
      </c>
      <c r="F19" s="47">
        <v>89.96</v>
      </c>
    </row>
    <row r="20" spans="1:10" s="8" customFormat="1" ht="15.75" x14ac:dyDescent="0.25">
      <c r="A20" s="7">
        <v>16</v>
      </c>
      <c r="B20" s="4" t="s">
        <v>175</v>
      </c>
      <c r="C20" s="4" t="s">
        <v>5</v>
      </c>
      <c r="D20" s="4" t="s">
        <v>174</v>
      </c>
      <c r="E20" s="7" t="s">
        <v>14</v>
      </c>
      <c r="F20" s="47">
        <v>174.83</v>
      </c>
    </row>
    <row r="21" spans="1:10" s="8" customFormat="1" ht="15.75" x14ac:dyDescent="0.25">
      <c r="A21" s="7">
        <f>A20+1</f>
        <v>17</v>
      </c>
      <c r="B21" s="4"/>
      <c r="C21" s="4" t="s">
        <v>164</v>
      </c>
      <c r="D21" s="4" t="s">
        <v>165</v>
      </c>
      <c r="E21" s="7" t="s">
        <v>14</v>
      </c>
      <c r="F21" s="47">
        <v>56.44</v>
      </c>
    </row>
    <row r="22" spans="1:10" s="8" customFormat="1" ht="15.75" x14ac:dyDescent="0.25">
      <c r="A22" s="7">
        <f>A21+1</f>
        <v>18</v>
      </c>
      <c r="B22" s="4" t="s">
        <v>186</v>
      </c>
      <c r="C22" s="4" t="s">
        <v>187</v>
      </c>
      <c r="D22" s="4" t="s">
        <v>188</v>
      </c>
      <c r="E22" s="7" t="s">
        <v>14</v>
      </c>
      <c r="F22" s="46">
        <v>91.54</v>
      </c>
    </row>
    <row r="23" spans="1:10" s="8" customFormat="1" ht="15.75" x14ac:dyDescent="0.25">
      <c r="A23" s="63">
        <v>19</v>
      </c>
      <c r="B23" s="64"/>
      <c r="C23" s="61" t="s">
        <v>109</v>
      </c>
      <c r="D23" s="4" t="s">
        <v>110</v>
      </c>
      <c r="E23" s="62" t="s">
        <v>14</v>
      </c>
      <c r="F23" s="47">
        <v>986.27</v>
      </c>
    </row>
    <row r="24" spans="1:10" s="8" customFormat="1" ht="15.75" x14ac:dyDescent="0.25">
      <c r="A24" s="63">
        <v>20</v>
      </c>
      <c r="B24" s="4" t="s">
        <v>179</v>
      </c>
      <c r="C24" s="61" t="s">
        <v>177</v>
      </c>
      <c r="D24" s="4" t="s">
        <v>178</v>
      </c>
      <c r="E24" s="62" t="s">
        <v>14</v>
      </c>
      <c r="F24" s="47">
        <v>0</v>
      </c>
    </row>
    <row r="25" spans="1:10" s="8" customFormat="1" ht="15.75" x14ac:dyDescent="0.25">
      <c r="A25" s="60">
        <v>21</v>
      </c>
      <c r="B25" s="4"/>
      <c r="C25" s="61" t="s">
        <v>190</v>
      </c>
      <c r="D25" s="4" t="s">
        <v>189</v>
      </c>
      <c r="E25" s="62" t="s">
        <v>14</v>
      </c>
      <c r="F25" s="47">
        <v>41.97</v>
      </c>
    </row>
    <row r="26" spans="1:10" s="8" customFormat="1" ht="15.75" x14ac:dyDescent="0.25">
      <c r="A26" s="60">
        <v>22</v>
      </c>
      <c r="B26" s="4"/>
      <c r="C26" s="4" t="s">
        <v>46</v>
      </c>
      <c r="D26" s="4" t="s">
        <v>47</v>
      </c>
      <c r="E26" s="7" t="s">
        <v>14</v>
      </c>
      <c r="F26" s="46">
        <v>122.9</v>
      </c>
    </row>
    <row r="27" spans="1:10" s="8" customFormat="1" ht="15.75" x14ac:dyDescent="0.25">
      <c r="A27" s="7">
        <v>24</v>
      </c>
      <c r="B27" s="4" t="s">
        <v>134</v>
      </c>
      <c r="C27" s="4" t="s">
        <v>12</v>
      </c>
      <c r="D27" s="4" t="s">
        <v>13</v>
      </c>
      <c r="E27" s="7" t="s">
        <v>14</v>
      </c>
      <c r="F27" s="46">
        <v>961.4</v>
      </c>
      <c r="J27" s="41"/>
    </row>
    <row r="28" spans="1:10" s="8" customFormat="1" ht="15.75" x14ac:dyDescent="0.25">
      <c r="A28" s="7">
        <v>23</v>
      </c>
      <c r="B28" s="4"/>
      <c r="C28" s="4"/>
      <c r="D28" s="4"/>
      <c r="E28" s="60" t="s">
        <v>14</v>
      </c>
      <c r="F28" s="47">
        <v>0</v>
      </c>
    </row>
    <row r="29" spans="1:10" s="17" customFormat="1" ht="15.75" x14ac:dyDescent="0.25">
      <c r="A29" s="55"/>
      <c r="B29" s="56"/>
      <c r="C29" s="56"/>
      <c r="D29" s="57" t="s">
        <v>4</v>
      </c>
      <c r="E29" s="58"/>
      <c r="F29" s="58">
        <f>SUM(F5:F28)</f>
        <v>12270.77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4"/>
  <sheetViews>
    <sheetView tabSelected="1" topLeftCell="A22" workbookViewId="0">
      <selection activeCell="F36" sqref="F36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144</v>
      </c>
    </row>
    <row r="2" spans="1:12" x14ac:dyDescent="0.25">
      <c r="A2" s="2" t="s">
        <v>122</v>
      </c>
      <c r="B2" s="2"/>
      <c r="C2" s="23">
        <v>46116</v>
      </c>
    </row>
    <row r="3" spans="1:12" x14ac:dyDescent="0.25">
      <c r="A3" s="2" t="s">
        <v>123</v>
      </c>
      <c r="B3" s="2"/>
      <c r="C3" s="23">
        <v>46121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5.75" x14ac:dyDescent="0.25">
      <c r="A5" s="52">
        <v>1</v>
      </c>
      <c r="B5" s="4"/>
      <c r="C5" s="4" t="s">
        <v>90</v>
      </c>
      <c r="D5" s="4" t="s">
        <v>192</v>
      </c>
      <c r="E5" s="51" t="s">
        <v>14</v>
      </c>
      <c r="F5" s="81">
        <v>58.5</v>
      </c>
    </row>
    <row r="6" spans="1:12" s="5" customFormat="1" ht="17.25" customHeight="1" x14ac:dyDescent="0.25">
      <c r="A6" s="7">
        <v>2</v>
      </c>
      <c r="B6" s="4"/>
      <c r="C6" s="4" t="s">
        <v>59</v>
      </c>
      <c r="D6" s="4" t="s">
        <v>60</v>
      </c>
      <c r="E6" s="10" t="s">
        <v>61</v>
      </c>
      <c r="F6" s="50">
        <v>58.38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v>3</v>
      </c>
      <c r="B7" s="4"/>
      <c r="C7" s="4" t="s">
        <v>166</v>
      </c>
      <c r="D7" s="4" t="s">
        <v>167</v>
      </c>
      <c r="E7" s="10" t="s">
        <v>11</v>
      </c>
      <c r="F7" s="50">
        <v>7.5</v>
      </c>
      <c r="G7" s="8"/>
      <c r="I7" s="8"/>
      <c r="J7" s="8"/>
      <c r="K7" s="8"/>
      <c r="L7" s="8"/>
    </row>
    <row r="8" spans="1:12" s="5" customFormat="1" ht="17.25" customHeight="1" x14ac:dyDescent="0.25">
      <c r="A8" s="7">
        <f>A7+1</f>
        <v>4</v>
      </c>
      <c r="B8" s="4"/>
      <c r="C8" s="4" t="s">
        <v>185</v>
      </c>
      <c r="D8" s="4" t="s">
        <v>184</v>
      </c>
      <c r="E8" s="7" t="s">
        <v>11</v>
      </c>
      <c r="F8" s="50">
        <v>14</v>
      </c>
      <c r="G8" s="8"/>
      <c r="I8" s="8"/>
      <c r="J8" s="8"/>
      <c r="K8" s="8"/>
      <c r="L8" s="8"/>
    </row>
    <row r="9" spans="1:12" s="8" customFormat="1" ht="15.75" x14ac:dyDescent="0.25">
      <c r="A9" s="7">
        <v>5</v>
      </c>
      <c r="B9" s="4"/>
      <c r="C9" s="4" t="s">
        <v>17</v>
      </c>
      <c r="D9" s="4" t="s">
        <v>176</v>
      </c>
      <c r="E9" s="10" t="s">
        <v>14</v>
      </c>
      <c r="F9" s="50">
        <v>35.5</v>
      </c>
      <c r="H9" s="5"/>
    </row>
    <row r="10" spans="1:12" s="8" customFormat="1" ht="15.75" x14ac:dyDescent="0.25">
      <c r="A10" s="7">
        <v>6</v>
      </c>
      <c r="B10" s="4" t="s">
        <v>73</v>
      </c>
      <c r="C10" s="4" t="s">
        <v>74</v>
      </c>
      <c r="D10" s="4" t="s">
        <v>75</v>
      </c>
      <c r="E10" s="7" t="s">
        <v>11</v>
      </c>
      <c r="F10" s="50">
        <v>70.7</v>
      </c>
      <c r="H10" s="5"/>
      <c r="L10" s="42"/>
    </row>
    <row r="11" spans="1:12" s="8" customFormat="1" ht="15.75" x14ac:dyDescent="0.25">
      <c r="A11" s="7">
        <v>7</v>
      </c>
      <c r="B11" s="4"/>
      <c r="C11" s="4" t="s">
        <v>161</v>
      </c>
      <c r="D11" s="4" t="s">
        <v>162</v>
      </c>
      <c r="E11" s="7" t="s">
        <v>163</v>
      </c>
      <c r="F11" s="50">
        <v>12.3</v>
      </c>
      <c r="H11" s="5"/>
    </row>
    <row r="12" spans="1:12" s="8" customFormat="1" ht="15.75" x14ac:dyDescent="0.25">
      <c r="A12" s="7">
        <v>8</v>
      </c>
      <c r="B12" s="4"/>
      <c r="C12" s="4" t="s">
        <v>39</v>
      </c>
      <c r="D12" s="4" t="s">
        <v>40</v>
      </c>
      <c r="E12" s="7" t="s">
        <v>14</v>
      </c>
      <c r="F12" s="50">
        <v>48.46</v>
      </c>
      <c r="H12" s="5"/>
    </row>
    <row r="13" spans="1:12" s="8" customFormat="1" ht="15.75" x14ac:dyDescent="0.25">
      <c r="A13" s="7">
        <v>9</v>
      </c>
      <c r="B13" s="4"/>
      <c r="C13" s="4" t="s">
        <v>17</v>
      </c>
      <c r="D13" s="4" t="s">
        <v>18</v>
      </c>
      <c r="E13" s="7" t="s">
        <v>14</v>
      </c>
      <c r="F13" s="50">
        <v>0</v>
      </c>
      <c r="H13" s="5"/>
    </row>
    <row r="14" spans="1:12" s="8" customFormat="1" ht="15.75" x14ac:dyDescent="0.25">
      <c r="A14" s="7">
        <v>10</v>
      </c>
      <c r="B14" s="4"/>
      <c r="C14" s="4" t="s">
        <v>76</v>
      </c>
      <c r="D14" s="4" t="s">
        <v>77</v>
      </c>
      <c r="E14" s="7" t="s">
        <v>14</v>
      </c>
      <c r="F14" s="50">
        <v>62</v>
      </c>
      <c r="H14" s="5"/>
    </row>
    <row r="15" spans="1:12" s="8" customFormat="1" ht="15.75" x14ac:dyDescent="0.25">
      <c r="A15" s="7">
        <v>11</v>
      </c>
      <c r="B15" s="4"/>
      <c r="C15" s="4" t="s">
        <v>21</v>
      </c>
      <c r="D15" s="4" t="s">
        <v>22</v>
      </c>
      <c r="E15" s="7" t="s">
        <v>11</v>
      </c>
      <c r="F15" s="50">
        <v>52.6</v>
      </c>
      <c r="H15" s="5"/>
    </row>
    <row r="16" spans="1:12" s="8" customFormat="1" ht="15.75" x14ac:dyDescent="0.25">
      <c r="A16" s="7">
        <v>12</v>
      </c>
      <c r="B16" s="4" t="s">
        <v>145</v>
      </c>
      <c r="C16" s="4" t="s">
        <v>146</v>
      </c>
      <c r="D16" s="4" t="s">
        <v>147</v>
      </c>
      <c r="E16" s="7" t="s">
        <v>11</v>
      </c>
      <c r="F16" s="50">
        <v>80.98</v>
      </c>
      <c r="H16" s="5"/>
    </row>
    <row r="17" spans="1:12" s="8" customFormat="1" ht="15.75" x14ac:dyDescent="0.25">
      <c r="A17" s="7">
        <v>14</v>
      </c>
      <c r="B17" s="4"/>
      <c r="C17" s="4" t="s">
        <v>196</v>
      </c>
      <c r="D17" s="4" t="s">
        <v>195</v>
      </c>
      <c r="E17" s="7" t="s">
        <v>11</v>
      </c>
      <c r="F17" s="50">
        <v>68</v>
      </c>
      <c r="H17" s="5"/>
    </row>
    <row r="18" spans="1:12" s="8" customFormat="1" ht="15.75" x14ac:dyDescent="0.25">
      <c r="A18" s="7">
        <v>13</v>
      </c>
      <c r="B18" s="4"/>
      <c r="C18" s="4" t="s">
        <v>76</v>
      </c>
      <c r="D18" s="4" t="s">
        <v>78</v>
      </c>
      <c r="E18" s="7" t="s">
        <v>14</v>
      </c>
      <c r="F18" s="50">
        <v>180.66</v>
      </c>
      <c r="H18" s="5"/>
    </row>
    <row r="19" spans="1:12" s="8" customFormat="1" ht="15.75" x14ac:dyDescent="0.25">
      <c r="A19" s="7">
        <v>15</v>
      </c>
      <c r="B19" s="4"/>
      <c r="C19" s="4" t="s">
        <v>32</v>
      </c>
      <c r="D19" s="4" t="s">
        <v>33</v>
      </c>
      <c r="E19" s="7" t="s">
        <v>11</v>
      </c>
      <c r="F19" s="50">
        <v>26.5</v>
      </c>
      <c r="H19" s="5"/>
      <c r="L19" s="42"/>
    </row>
    <row r="20" spans="1:12" s="8" customFormat="1" ht="15.75" x14ac:dyDescent="0.25">
      <c r="A20" s="7">
        <v>16</v>
      </c>
      <c r="B20" s="4" t="s">
        <v>116</v>
      </c>
      <c r="C20" s="4" t="s">
        <v>117</v>
      </c>
      <c r="D20" s="4" t="s">
        <v>118</v>
      </c>
      <c r="E20" s="7" t="s">
        <v>11</v>
      </c>
      <c r="F20" s="50">
        <v>34.4</v>
      </c>
      <c r="H20" s="5"/>
    </row>
    <row r="21" spans="1:12" s="8" customFormat="1" ht="15.75" x14ac:dyDescent="0.25">
      <c r="A21" s="7">
        <v>17</v>
      </c>
      <c r="B21" s="4"/>
      <c r="C21" s="4" t="s">
        <v>79</v>
      </c>
      <c r="D21" s="4" t="s">
        <v>80</v>
      </c>
      <c r="E21" s="7" t="s">
        <v>14</v>
      </c>
      <c r="F21" s="50">
        <v>133.68</v>
      </c>
      <c r="H21" s="5"/>
    </row>
    <row r="22" spans="1:12" s="8" customFormat="1" ht="15.75" x14ac:dyDescent="0.25">
      <c r="A22" s="7">
        <v>18</v>
      </c>
      <c r="B22" s="4" t="s">
        <v>148</v>
      </c>
      <c r="C22" s="4" t="s">
        <v>149</v>
      </c>
      <c r="D22" s="4" t="s">
        <v>150</v>
      </c>
      <c r="E22" s="7" t="s">
        <v>14</v>
      </c>
      <c r="F22" s="50">
        <v>38.619999999999997</v>
      </c>
    </row>
    <row r="23" spans="1:12" s="8" customFormat="1" ht="15.75" x14ac:dyDescent="0.25">
      <c r="A23" s="7">
        <v>19</v>
      </c>
      <c r="B23" s="4" t="s">
        <v>26</v>
      </c>
      <c r="C23" s="4" t="s">
        <v>30</v>
      </c>
      <c r="D23" s="4" t="s">
        <v>152</v>
      </c>
      <c r="E23" s="7" t="s">
        <v>14</v>
      </c>
      <c r="F23" s="50">
        <v>45.38</v>
      </c>
      <c r="H23" s="5"/>
      <c r="L23" s="42"/>
    </row>
    <row r="24" spans="1:12" s="8" customFormat="1" ht="15.75" x14ac:dyDescent="0.25">
      <c r="A24" s="7">
        <v>20</v>
      </c>
      <c r="B24" s="4"/>
      <c r="C24" s="4" t="s">
        <v>170</v>
      </c>
      <c r="D24" s="4" t="s">
        <v>169</v>
      </c>
      <c r="E24" s="7" t="s">
        <v>14</v>
      </c>
      <c r="F24" s="50">
        <v>115</v>
      </c>
      <c r="H24" s="5"/>
    </row>
    <row r="25" spans="1:12" s="8" customFormat="1" ht="15.75" x14ac:dyDescent="0.25">
      <c r="A25" s="7">
        <v>22</v>
      </c>
      <c r="B25" s="4"/>
      <c r="C25" s="4" t="s">
        <v>48</v>
      </c>
      <c r="D25" s="4" t="s">
        <v>49</v>
      </c>
      <c r="E25" s="7" t="s">
        <v>11</v>
      </c>
      <c r="F25" s="50">
        <v>0</v>
      </c>
      <c r="H25" s="5"/>
    </row>
    <row r="26" spans="1:12" s="8" customFormat="1" ht="15.75" x14ac:dyDescent="0.25">
      <c r="A26" s="7">
        <v>23</v>
      </c>
      <c r="B26" s="4"/>
      <c r="C26" s="4" t="s">
        <v>51</v>
      </c>
      <c r="D26" s="4" t="s">
        <v>52</v>
      </c>
      <c r="E26" s="7" t="s">
        <v>14</v>
      </c>
      <c r="F26" s="50">
        <v>66.2</v>
      </c>
      <c r="H26" s="5"/>
    </row>
    <row r="27" spans="1:12" s="8" customFormat="1" ht="15.75" x14ac:dyDescent="0.25">
      <c r="A27" s="7">
        <v>24</v>
      </c>
      <c r="B27" s="4"/>
      <c r="C27" s="4" t="s">
        <v>157</v>
      </c>
      <c r="D27" s="4" t="s">
        <v>156</v>
      </c>
      <c r="E27" s="7" t="s">
        <v>14</v>
      </c>
      <c r="F27" s="50">
        <v>32.799999999999997</v>
      </c>
      <c r="H27" s="5"/>
    </row>
    <row r="28" spans="1:12" s="8" customFormat="1" ht="15.75" x14ac:dyDescent="0.25">
      <c r="A28" s="7">
        <v>25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8.75" customHeight="1" x14ac:dyDescent="0.25">
      <c r="A29" s="7">
        <v>26</v>
      </c>
      <c r="B29" s="4"/>
      <c r="C29" s="4" t="s">
        <v>69</v>
      </c>
      <c r="D29" s="4" t="s">
        <v>70</v>
      </c>
      <c r="E29" s="7" t="s">
        <v>11</v>
      </c>
      <c r="F29" s="50">
        <v>17</v>
      </c>
      <c r="H29" s="5"/>
    </row>
    <row r="30" spans="1:12" s="8" customFormat="1" ht="17.45" customHeight="1" x14ac:dyDescent="0.25">
      <c r="A30" s="40">
        <v>27</v>
      </c>
      <c r="B30" s="3"/>
      <c r="C30" s="3" t="s">
        <v>133</v>
      </c>
      <c r="D30" s="3" t="s">
        <v>137</v>
      </c>
      <c r="E30" s="7" t="s">
        <v>14</v>
      </c>
      <c r="F30" s="50">
        <v>126.4</v>
      </c>
    </row>
    <row r="31" spans="1:12" s="8" customFormat="1" ht="18" customHeight="1" x14ac:dyDescent="0.25">
      <c r="A31" s="40">
        <v>28</v>
      </c>
      <c r="B31" s="3"/>
      <c r="C31" s="3" t="s">
        <v>102</v>
      </c>
      <c r="D31" s="3" t="s">
        <v>173</v>
      </c>
      <c r="E31" s="7" t="s">
        <v>14</v>
      </c>
      <c r="F31" s="50">
        <v>72.5</v>
      </c>
    </row>
    <row r="32" spans="1:12" s="8" customFormat="1" ht="15.75" x14ac:dyDescent="0.25">
      <c r="A32" s="7">
        <v>29</v>
      </c>
      <c r="B32" s="4"/>
      <c r="C32" s="4" t="s">
        <v>183</v>
      </c>
      <c r="D32" s="4" t="s">
        <v>182</v>
      </c>
      <c r="E32" s="7" t="s">
        <v>11</v>
      </c>
      <c r="F32" s="50">
        <v>31.5</v>
      </c>
    </row>
    <row r="33" spans="1:12" s="8" customFormat="1" ht="15.75" x14ac:dyDescent="0.25">
      <c r="A33" s="7">
        <v>30</v>
      </c>
      <c r="B33" s="4"/>
      <c r="C33" s="4" t="s">
        <v>181</v>
      </c>
      <c r="D33" s="4" t="s">
        <v>180</v>
      </c>
      <c r="E33" s="7" t="s">
        <v>11</v>
      </c>
      <c r="F33" s="50">
        <v>15</v>
      </c>
      <c r="H33" s="5"/>
    </row>
    <row r="34" spans="1:12" s="8" customFormat="1" ht="15.75" x14ac:dyDescent="0.25">
      <c r="A34" s="7">
        <v>31</v>
      </c>
      <c r="B34" s="4"/>
      <c r="C34" s="4" t="s">
        <v>172</v>
      </c>
      <c r="D34" s="4" t="s">
        <v>171</v>
      </c>
      <c r="E34" s="7" t="s">
        <v>14</v>
      </c>
      <c r="F34" s="50">
        <v>0</v>
      </c>
    </row>
    <row r="35" spans="1:12" s="8" customFormat="1" ht="15.75" x14ac:dyDescent="0.25">
      <c r="A35" s="7">
        <v>33</v>
      </c>
      <c r="B35" s="4" t="s">
        <v>104</v>
      </c>
      <c r="C35" s="4" t="s">
        <v>105</v>
      </c>
      <c r="D35" s="4" t="s">
        <v>106</v>
      </c>
      <c r="E35" s="7" t="s">
        <v>11</v>
      </c>
      <c r="F35" s="50">
        <v>300</v>
      </c>
      <c r="H35" s="5"/>
    </row>
    <row r="36" spans="1:12" s="8" customFormat="1" ht="15.75" x14ac:dyDescent="0.25">
      <c r="A36" s="7">
        <v>34</v>
      </c>
      <c r="B36" s="4" t="s">
        <v>107</v>
      </c>
      <c r="C36" s="4" t="s">
        <v>105</v>
      </c>
      <c r="D36" s="4" t="s">
        <v>108</v>
      </c>
      <c r="E36" s="7" t="s">
        <v>11</v>
      </c>
      <c r="F36" s="50">
        <v>172</v>
      </c>
      <c r="H36" s="5"/>
    </row>
    <row r="37" spans="1:12" s="8" customFormat="1" ht="15.75" x14ac:dyDescent="0.25">
      <c r="A37" s="52">
        <v>37</v>
      </c>
      <c r="B37" s="4"/>
      <c r="C37" s="4" t="s">
        <v>168</v>
      </c>
      <c r="D37" s="4" t="s">
        <v>165</v>
      </c>
      <c r="E37" s="51" t="s">
        <v>14</v>
      </c>
      <c r="F37" s="50">
        <v>7.5</v>
      </c>
      <c r="G37" s="5"/>
      <c r="H37" s="5"/>
      <c r="I37" s="5"/>
      <c r="J37" s="5"/>
      <c r="K37" s="5"/>
      <c r="L37" s="5"/>
    </row>
    <row r="38" spans="1:12" s="8" customFormat="1" ht="15.75" x14ac:dyDescent="0.25">
      <c r="A38" s="7">
        <v>38</v>
      </c>
      <c r="B38" s="4"/>
      <c r="C38" s="4" t="s">
        <v>42</v>
      </c>
      <c r="D38" s="4" t="s">
        <v>43</v>
      </c>
      <c r="E38" s="7" t="s">
        <v>11</v>
      </c>
      <c r="F38" s="50">
        <v>0</v>
      </c>
      <c r="H38" s="5"/>
    </row>
    <row r="39" spans="1:12" s="8" customFormat="1" ht="15.75" x14ac:dyDescent="0.25">
      <c r="A39" s="7">
        <v>39</v>
      </c>
      <c r="B39" s="4"/>
      <c r="C39" s="4" t="s">
        <v>113</v>
      </c>
      <c r="D39" s="4" t="s">
        <v>115</v>
      </c>
      <c r="E39" s="7" t="s">
        <v>11</v>
      </c>
      <c r="F39" s="50">
        <v>0</v>
      </c>
      <c r="H39" s="5"/>
    </row>
    <row r="40" spans="1:12" s="8" customFormat="1" ht="15.75" x14ac:dyDescent="0.25">
      <c r="A40" s="7">
        <v>40</v>
      </c>
      <c r="B40" s="4" t="s">
        <v>186</v>
      </c>
      <c r="C40" s="4" t="s">
        <v>187</v>
      </c>
      <c r="D40" s="4" t="s">
        <v>188</v>
      </c>
      <c r="E40" s="7" t="s">
        <v>14</v>
      </c>
      <c r="F40" s="50">
        <v>28</v>
      </c>
      <c r="H40" s="5"/>
    </row>
    <row r="41" spans="1:12" s="8" customFormat="1" ht="15.75" x14ac:dyDescent="0.25">
      <c r="A41" s="7">
        <v>41</v>
      </c>
      <c r="B41" s="4"/>
      <c r="C41" s="4" t="s">
        <v>109</v>
      </c>
      <c r="D41" s="4" t="s">
        <v>110</v>
      </c>
      <c r="E41" s="7" t="s">
        <v>14</v>
      </c>
      <c r="F41" s="50">
        <v>0</v>
      </c>
    </row>
    <row r="42" spans="1:12" s="8" customFormat="1" ht="15.75" x14ac:dyDescent="0.25">
      <c r="A42" s="7">
        <v>21</v>
      </c>
      <c r="B42" s="4"/>
      <c r="C42" s="4" t="s">
        <v>21</v>
      </c>
      <c r="D42" s="4" t="s">
        <v>81</v>
      </c>
      <c r="E42" s="7" t="s">
        <v>11</v>
      </c>
      <c r="F42" s="50">
        <v>20</v>
      </c>
      <c r="H42" s="5"/>
    </row>
    <row r="43" spans="1:12" s="8" customFormat="1" ht="15.75" x14ac:dyDescent="0.25">
      <c r="A43" s="7">
        <v>48</v>
      </c>
      <c r="B43" s="4"/>
      <c r="C43" s="4" t="s">
        <v>190</v>
      </c>
      <c r="D43" s="4" t="s">
        <v>189</v>
      </c>
      <c r="E43" s="7" t="s">
        <v>14</v>
      </c>
      <c r="F43" s="50">
        <v>26</v>
      </c>
      <c r="H43" s="5"/>
    </row>
    <row r="44" spans="1:12" s="8" customFormat="1" ht="15.75" x14ac:dyDescent="0.25">
      <c r="A44" s="7">
        <v>42</v>
      </c>
      <c r="B44" s="4"/>
      <c r="C44" s="4" t="s">
        <v>153</v>
      </c>
      <c r="D44" s="4" t="s">
        <v>154</v>
      </c>
      <c r="E44" s="7" t="s">
        <v>11</v>
      </c>
      <c r="F44" s="50">
        <v>10.5</v>
      </c>
    </row>
    <row r="45" spans="1:12" s="8" customFormat="1" ht="15.75" x14ac:dyDescent="0.25">
      <c r="A45" s="7">
        <v>43</v>
      </c>
      <c r="B45" s="4"/>
      <c r="C45" s="4" t="s">
        <v>46</v>
      </c>
      <c r="D45" s="4" t="s">
        <v>47</v>
      </c>
      <c r="E45" s="7" t="s">
        <v>14</v>
      </c>
      <c r="F45" s="50">
        <v>135</v>
      </c>
      <c r="L45" s="42"/>
    </row>
    <row r="46" spans="1:12" s="8" customFormat="1" ht="15.75" x14ac:dyDescent="0.25">
      <c r="A46" s="7">
        <v>44</v>
      </c>
      <c r="B46" s="4"/>
      <c r="C46" s="4" t="s">
        <v>48</v>
      </c>
      <c r="D46" s="4" t="s">
        <v>50</v>
      </c>
      <c r="E46" s="7" t="s">
        <v>11</v>
      </c>
      <c r="F46" s="50">
        <v>169.3</v>
      </c>
      <c r="L46" s="43"/>
    </row>
    <row r="47" spans="1:12" s="8" customFormat="1" ht="15.75" x14ac:dyDescent="0.25">
      <c r="A47" s="7">
        <v>49</v>
      </c>
      <c r="B47" s="4"/>
      <c r="C47" s="4" t="s">
        <v>202</v>
      </c>
      <c r="D47" s="4" t="s">
        <v>201</v>
      </c>
      <c r="E47" s="7" t="s">
        <v>11</v>
      </c>
      <c r="F47" s="50">
        <v>36</v>
      </c>
      <c r="H47" s="5"/>
    </row>
    <row r="48" spans="1:12" s="8" customFormat="1" ht="15.75" x14ac:dyDescent="0.25">
      <c r="A48" s="7">
        <v>45</v>
      </c>
      <c r="B48" s="4"/>
      <c r="C48" s="4" t="s">
        <v>44</v>
      </c>
      <c r="D48" s="4" t="s">
        <v>45</v>
      </c>
      <c r="E48" s="7" t="s">
        <v>11</v>
      </c>
      <c r="F48" s="50">
        <v>15</v>
      </c>
    </row>
    <row r="49" spans="1:12" s="8" customFormat="1" ht="15.75" x14ac:dyDescent="0.25">
      <c r="A49" s="7">
        <v>46</v>
      </c>
      <c r="B49" s="4"/>
      <c r="C49" s="4" t="s">
        <v>65</v>
      </c>
      <c r="D49" s="4" t="s">
        <v>66</v>
      </c>
      <c r="E49" s="7" t="s">
        <v>11</v>
      </c>
      <c r="F49" s="50">
        <v>8.5</v>
      </c>
      <c r="L49" s="42"/>
    </row>
    <row r="50" spans="1:12" s="8" customFormat="1" ht="15.75" x14ac:dyDescent="0.25">
      <c r="A50" s="7">
        <v>47</v>
      </c>
      <c r="B50" s="4" t="s">
        <v>8</v>
      </c>
      <c r="C50" s="4" t="s">
        <v>9</v>
      </c>
      <c r="D50" s="4" t="s">
        <v>10</v>
      </c>
      <c r="E50" s="7" t="s">
        <v>11</v>
      </c>
      <c r="F50" s="50">
        <v>7.5</v>
      </c>
      <c r="J50" s="41"/>
    </row>
    <row r="51" spans="1:12" s="8" customFormat="1" ht="15.75" x14ac:dyDescent="0.25">
      <c r="A51" s="7">
        <v>48</v>
      </c>
      <c r="B51" s="4"/>
      <c r="C51" s="4" t="s">
        <v>12</v>
      </c>
      <c r="D51" s="4" t="s">
        <v>13</v>
      </c>
      <c r="E51" s="7" t="s">
        <v>14</v>
      </c>
      <c r="F51" s="50">
        <v>0</v>
      </c>
      <c r="H51" s="5"/>
      <c r="J51" s="41"/>
    </row>
    <row r="52" spans="1:12" s="8" customFormat="1" ht="15.75" x14ac:dyDescent="0.25">
      <c r="A52" s="7">
        <v>50</v>
      </c>
      <c r="B52" s="4"/>
      <c r="C52" s="4" t="s">
        <v>159</v>
      </c>
      <c r="D52" s="4" t="s">
        <v>158</v>
      </c>
      <c r="E52" s="7" t="s">
        <v>11</v>
      </c>
      <c r="F52" s="50">
        <v>7</v>
      </c>
      <c r="H52" s="5"/>
    </row>
    <row r="53" spans="1:12" s="17" customFormat="1" ht="15.75" x14ac:dyDescent="0.25">
      <c r="A53" s="5"/>
      <c r="B53" s="44"/>
      <c r="C53" s="44"/>
      <c r="D53" s="44"/>
      <c r="E53" s="5"/>
      <c r="F53" s="5"/>
      <c r="G53" s="5"/>
      <c r="H53" s="5"/>
      <c r="I53" s="5"/>
      <c r="J53" s="5"/>
      <c r="K53" s="5"/>
      <c r="L53" s="5"/>
    </row>
    <row r="54" spans="1:12" s="8" customFormat="1" ht="15.75" x14ac:dyDescent="0.25">
      <c r="A54"/>
      <c r="B54" s="5"/>
      <c r="C54" s="5"/>
      <c r="D54" s="30" t="s">
        <v>4</v>
      </c>
      <c r="E54" s="31"/>
      <c r="F54" s="31">
        <f>SUM(F5:F53)</f>
        <v>2446.8600000000006</v>
      </c>
      <c r="G54" s="45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6"/>
    </row>
    <row r="57" spans="1:12" s="8" customFormat="1" ht="15.75" x14ac:dyDescent="0.25">
      <c r="A57"/>
      <c r="B57" s="5"/>
      <c r="C57" s="5"/>
      <c r="D57" s="5"/>
      <c r="F57" s="15"/>
    </row>
    <row r="58" spans="1:12" s="8" customFormat="1" ht="15.75" x14ac:dyDescent="0.25">
      <c r="A58"/>
      <c r="B58" s="5"/>
      <c r="C58" s="5"/>
      <c r="D58" s="5"/>
      <c r="F58" s="17"/>
    </row>
    <row r="59" spans="1:12" s="8" customFormat="1" ht="15.75" x14ac:dyDescent="0.25">
      <c r="A59"/>
      <c r="B59" s="5"/>
      <c r="C59" s="5"/>
      <c r="D59" s="13"/>
      <c r="E59" s="14"/>
      <c r="F59" s="17"/>
    </row>
    <row r="60" spans="1:12" s="8" customFormat="1" ht="15.75" x14ac:dyDescent="0.25">
      <c r="A60"/>
      <c r="B60" s="5"/>
      <c r="C60" s="5"/>
      <c r="D60" s="13"/>
      <c r="E60" s="14"/>
      <c r="F60" s="16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7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13"/>
      <c r="E81" s="14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s="8" customFormat="1" ht="15.75" x14ac:dyDescent="0.25">
      <c r="A173"/>
      <c r="B173" s="5"/>
      <c r="C173" s="5"/>
      <c r="D173" s="5"/>
      <c r="F173" s="11"/>
    </row>
    <row r="174" spans="1:6" ht="15.75" x14ac:dyDescent="0.25">
      <c r="D174" s="5"/>
      <c r="E174" s="8"/>
      <c r="F174" s="11"/>
    </row>
  </sheetData>
  <sortState xmlns:xlrd2="http://schemas.microsoft.com/office/spreadsheetml/2017/richdata2" ref="A5:L51">
    <sortCondition ref="D5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H17" sqref="H17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139</v>
      </c>
    </row>
    <row r="2" spans="1:15" x14ac:dyDescent="0.25">
      <c r="A2" s="2" t="s">
        <v>122</v>
      </c>
      <c r="B2" s="2"/>
      <c r="C2" s="23">
        <f>'TIPS - BOH'!C2</f>
        <v>46116</v>
      </c>
      <c r="G2" t="s">
        <v>143</v>
      </c>
    </row>
    <row r="3" spans="1:15" x14ac:dyDescent="0.25">
      <c r="A3" s="2" t="s">
        <v>123</v>
      </c>
      <c r="B3" s="2"/>
      <c r="C3" s="23">
        <v>46121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203</v>
      </c>
      <c r="G4" s="18" t="s">
        <v>140</v>
      </c>
      <c r="H4" s="49" t="s">
        <v>141</v>
      </c>
      <c r="I4" s="24" t="s">
        <v>142</v>
      </c>
    </row>
    <row r="5" spans="1:15" s="5" customFormat="1" ht="16.5" thickBot="1" x14ac:dyDescent="0.3">
      <c r="A5" s="66"/>
      <c r="B5" s="64"/>
      <c r="C5" s="64"/>
      <c r="D5" s="64"/>
      <c r="E5" s="66"/>
      <c r="F5" s="66"/>
      <c r="G5" s="67"/>
      <c r="H5" s="66"/>
      <c r="I5" s="68"/>
    </row>
    <row r="6" spans="1:15" s="8" customFormat="1" ht="15.75" x14ac:dyDescent="0.25">
      <c r="A6" s="69">
        <v>1</v>
      </c>
      <c r="B6" s="70"/>
      <c r="C6" s="70"/>
      <c r="D6" s="70"/>
      <c r="E6" s="71" t="s">
        <v>11</v>
      </c>
      <c r="F6" s="72"/>
      <c r="G6" s="72"/>
      <c r="H6" s="72"/>
      <c r="I6" s="73"/>
      <c r="K6" s="5"/>
    </row>
    <row r="7" spans="1:15" s="8" customFormat="1" ht="15.75" x14ac:dyDescent="0.25">
      <c r="A7" s="74">
        <v>2</v>
      </c>
      <c r="B7" s="44"/>
      <c r="C7" s="44"/>
      <c r="D7" s="44"/>
      <c r="E7" s="8" t="s">
        <v>11</v>
      </c>
      <c r="F7" s="65"/>
      <c r="G7" s="65"/>
      <c r="H7" s="65"/>
      <c r="I7" s="75"/>
      <c r="K7" s="5"/>
    </row>
    <row r="8" spans="1:15" s="15" customFormat="1" ht="16.5" thickBot="1" x14ac:dyDescent="0.3">
      <c r="A8" s="80">
        <v>3</v>
      </c>
      <c r="B8" s="76"/>
      <c r="C8" s="76"/>
      <c r="D8" s="76"/>
      <c r="E8" s="77"/>
      <c r="F8" s="77"/>
      <c r="G8" s="78"/>
      <c r="H8" s="78"/>
      <c r="I8" s="79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0</v>
      </c>
      <c r="G9" s="32">
        <f>SUM(G6:G8)</f>
        <v>0</v>
      </c>
      <c r="H9" s="32">
        <f>SUM(H6:H8)</f>
        <v>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2026-04-06T01:32:06Z</dcterms:modified>
</cp:coreProperties>
</file>