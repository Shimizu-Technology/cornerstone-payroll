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B0E094-0DD3-4686-8199-23FA39EE2F23}" xr6:coauthVersionLast="47" xr6:coauthVersionMax="47" xr10:uidLastSave="{00000000-0000-0000-0000-000000000000}"/>
  <bookViews>
    <workbookView xWindow="-120" yWindow="-120" windowWidth="29040" windowHeight="15720" xr2:uid="{3E579C38-973C-43D3-9088-33258238253F}"/>
  </bookViews>
  <sheets>
    <sheet name="TIPS - BOH" sheetId="6" r:id="rId1"/>
    <sheet name="TIPS - FOH" sheetId="7" r:id="rId2"/>
    <sheet name="LOANS (NO INSTALLMENTS)" sheetId="9" r:id="rId3"/>
    <sheet name="INSTALLMENT LOANS" sheetId="8" r:id="rId4"/>
    <sheet name="SUMMARY" sheetId="5" state="hidden" r:id="rId5"/>
  </sheets>
  <definedNames>
    <definedName name="_xlnm.Print_Area" localSheetId="3">'INSTALLMENT LOANS'!$A$1:$L$9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6" l="1"/>
  <c r="F29" i="7"/>
  <c r="F53" i="9"/>
  <c r="F9" i="8"/>
  <c r="H9" i="8"/>
  <c r="G9" i="8"/>
  <c r="C3" i="8"/>
  <c r="C2" i="8"/>
  <c r="A11" i="9" l="1"/>
  <c r="I9" i="8"/>
  <c r="F61" i="5" l="1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I5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H61" i="5"/>
  <c r="I61" i="5"/>
  <c r="J5" i="5" l="1"/>
  <c r="J9" i="5"/>
  <c r="J24" i="5"/>
  <c r="J8" i="5"/>
  <c r="J46" i="5"/>
  <c r="J38" i="5"/>
  <c r="J30" i="5"/>
  <c r="J6" i="5"/>
  <c r="J44" i="5"/>
  <c r="J52" i="5"/>
  <c r="J43" i="5"/>
  <c r="J31" i="5"/>
  <c r="J37" i="5"/>
  <c r="J13" i="5"/>
  <c r="J47" i="5"/>
  <c r="J20" i="5"/>
  <c r="J27" i="5"/>
  <c r="J23" i="5"/>
  <c r="J19" i="5"/>
  <c r="J15" i="5"/>
  <c r="J34" i="5"/>
  <c r="J26" i="5"/>
  <c r="J53" i="5"/>
  <c r="J49" i="5"/>
  <c r="J45" i="5"/>
  <c r="J33" i="5"/>
  <c r="J29" i="5"/>
  <c r="J21" i="5"/>
  <c r="J56" i="5"/>
  <c r="J32" i="5"/>
  <c r="J54" i="5"/>
  <c r="J51" i="5"/>
  <c r="J39" i="5"/>
  <c r="J36" i="5"/>
  <c r="J25" i="5"/>
  <c r="J18" i="5"/>
  <c r="J14" i="5"/>
  <c r="J11" i="5"/>
  <c r="J7" i="5"/>
  <c r="J50" i="5"/>
  <c r="J35" i="5"/>
  <c r="J28" i="5"/>
  <c r="J17" i="5"/>
  <c r="J10" i="5"/>
  <c r="J57" i="5"/>
  <c r="J42" i="5"/>
  <c r="J16" i="5"/>
  <c r="J48" i="5"/>
  <c r="J41" i="5"/>
  <c r="J55" i="5"/>
  <c r="J40" i="5"/>
  <c r="J22" i="5"/>
  <c r="J12" i="5"/>
  <c r="H59" i="5"/>
  <c r="H62" i="5" s="1"/>
  <c r="I59" i="5"/>
  <c r="I62" i="5" s="1"/>
  <c r="F59" i="5"/>
  <c r="F62" i="5" s="1"/>
  <c r="J59" i="5" l="1"/>
  <c r="A20" i="9" l="1"/>
  <c r="A7" i="9" l="1"/>
  <c r="A26" i="6" l="1"/>
  <c r="A27" i="6" s="1"/>
  <c r="A28" i="6" s="1"/>
  <c r="A29" i="6" s="1"/>
  <c r="A30" i="6" s="1"/>
  <c r="A31" i="6" s="1"/>
  <c r="A7" i="6" s="1"/>
  <c r="A8" i="6" s="1"/>
  <c r="A14" i="7" l="1"/>
  <c r="A17" i="7"/>
  <c r="A18" i="7" s="1"/>
  <c r="A19" i="7" s="1"/>
  <c r="A15" i="7" l="1"/>
  <c r="A10" i="7"/>
  <c r="A11" i="7" s="1"/>
  <c r="A14" i="6" l="1"/>
  <c r="A22" i="6"/>
  <c r="A23" i="6" s="1"/>
  <c r="A24" i="6" s="1"/>
  <c r="A10" i="6"/>
  <c r="A11" i="6" s="1"/>
  <c r="A12" i="6" s="1"/>
  <c r="A15" i="6" l="1"/>
  <c r="A16" i="6" s="1"/>
  <c r="A18" i="6" s="1"/>
  <c r="A19" i="6" s="1"/>
  <c r="A20" i="6" s="1"/>
  <c r="A21" i="7" l="1"/>
  <c r="A22" i="7" s="1"/>
</calcChain>
</file>

<file path=xl/sharedStrings.xml><?xml version="1.0" encoding="utf-8"?>
<sst xmlns="http://schemas.openxmlformats.org/spreadsheetml/2006/main" count="559" uniqueCount="203">
  <si>
    <t>Nickname</t>
  </si>
  <si>
    <t>Last Name</t>
  </si>
  <si>
    <t>First Name</t>
  </si>
  <si>
    <t>Dept</t>
  </si>
  <si>
    <t>TOTAL</t>
  </si>
  <si>
    <t>Amani</t>
  </si>
  <si>
    <t>Monique Genereux</t>
  </si>
  <si>
    <t>Salary</t>
  </si>
  <si>
    <t>Vinny</t>
  </si>
  <si>
    <t>Belleza</t>
  </si>
  <si>
    <t>Vincent D</t>
  </si>
  <si>
    <t>Kitchen</t>
  </si>
  <si>
    <t>Camacho</t>
  </si>
  <si>
    <t>Zachary</t>
  </si>
  <si>
    <t>Joint</t>
  </si>
  <si>
    <t>Chaco</t>
  </si>
  <si>
    <t>Aubree</t>
  </si>
  <si>
    <t>Cruz</t>
  </si>
  <si>
    <t>Chad D</t>
  </si>
  <si>
    <t>Kyle A</t>
  </si>
  <si>
    <t>Kyle R</t>
  </si>
  <si>
    <t>Doctor</t>
  </si>
  <si>
    <t>Dennis F</t>
  </si>
  <si>
    <t>Sonia Emuch (Kitchen)</t>
  </si>
  <si>
    <t>Emuch</t>
  </si>
  <si>
    <t>Sonia (Kitchen)</t>
  </si>
  <si>
    <t>Finn</t>
  </si>
  <si>
    <t>Fred (Finn)</t>
  </si>
  <si>
    <t>Fredley</t>
  </si>
  <si>
    <t>Tina</t>
  </si>
  <si>
    <t>Fred</t>
  </si>
  <si>
    <t>Merrychrist</t>
  </si>
  <si>
    <t>Hadley</t>
  </si>
  <si>
    <t>Eithen D</t>
  </si>
  <si>
    <t>Rome</t>
  </si>
  <si>
    <t>Harris</t>
  </si>
  <si>
    <t>Jerome N.</t>
  </si>
  <si>
    <t>Herman</t>
  </si>
  <si>
    <t>Berkina</t>
  </si>
  <si>
    <t>Jackson</t>
  </si>
  <si>
    <t>Cason J</t>
  </si>
  <si>
    <t>Jayden M</t>
  </si>
  <si>
    <t>Joe</t>
  </si>
  <si>
    <t>Nena K</t>
  </si>
  <si>
    <t>John</t>
  </si>
  <si>
    <t>Verna Jose</t>
  </si>
  <si>
    <t>Lesegbul</t>
  </si>
  <si>
    <t>Sonia</t>
  </si>
  <si>
    <t>Likiaksa</t>
  </si>
  <si>
    <t>Heather I</t>
  </si>
  <si>
    <t>Stephanie I</t>
  </si>
  <si>
    <t>Likiaksa Jr.</t>
  </si>
  <si>
    <t>Iuver</t>
  </si>
  <si>
    <t>Ludwig</t>
  </si>
  <si>
    <t>Vickie</t>
  </si>
  <si>
    <t>Martinez</t>
  </si>
  <si>
    <t>Sophia</t>
  </si>
  <si>
    <t>Mills</t>
  </si>
  <si>
    <t>Sallie T</t>
  </si>
  <si>
    <t>Moyer</t>
  </si>
  <si>
    <t>Addison</t>
  </si>
  <si>
    <t>Hourly Maintenance</t>
  </si>
  <si>
    <t>Micah Anne Advincula</t>
  </si>
  <si>
    <t>Mutuk</t>
  </si>
  <si>
    <t>Maekate</t>
  </si>
  <si>
    <t>Olap</t>
  </si>
  <si>
    <t>Viany</t>
  </si>
  <si>
    <t>Otton</t>
  </si>
  <si>
    <t>Sanita</t>
  </si>
  <si>
    <t>Palsis</t>
  </si>
  <si>
    <t>Jason J</t>
  </si>
  <si>
    <t>Pascual</t>
  </si>
  <si>
    <t>Earl S</t>
  </si>
  <si>
    <t>BR</t>
  </si>
  <si>
    <t>Pedro</t>
  </si>
  <si>
    <t>Billy Ray</t>
  </si>
  <si>
    <t>Phillip</t>
  </si>
  <si>
    <t>Charles T</t>
  </si>
  <si>
    <t>Douglas</t>
  </si>
  <si>
    <t>Pleadwell</t>
  </si>
  <si>
    <t>Emma</t>
  </si>
  <si>
    <t>Sara</t>
  </si>
  <si>
    <t>Riley</t>
  </si>
  <si>
    <t>Purcell</t>
  </si>
  <si>
    <t>Cienna R</t>
  </si>
  <si>
    <t>JQ</t>
  </si>
  <si>
    <t>Quichocho</t>
  </si>
  <si>
    <t>Jared</t>
  </si>
  <si>
    <t>Rankin</t>
  </si>
  <si>
    <t>Erica L</t>
  </si>
  <si>
    <t>Root</t>
  </si>
  <si>
    <t>Aaron-Michael C</t>
  </si>
  <si>
    <t>Rotin</t>
  </si>
  <si>
    <t>Tekina</t>
  </si>
  <si>
    <t>Trin</t>
  </si>
  <si>
    <t>Sanford</t>
  </si>
  <si>
    <t>Trinity S</t>
  </si>
  <si>
    <t>Sebastian</t>
  </si>
  <si>
    <t>Amy</t>
  </si>
  <si>
    <t>Dez</t>
  </si>
  <si>
    <t>Dezireno D</t>
  </si>
  <si>
    <t>Rinda</t>
  </si>
  <si>
    <t>Serious</t>
  </si>
  <si>
    <t>Malerinda S</t>
  </si>
  <si>
    <t>Dela</t>
  </si>
  <si>
    <t>Severin</t>
  </si>
  <si>
    <t>Madela</t>
  </si>
  <si>
    <t>May</t>
  </si>
  <si>
    <t>Mayleen</t>
  </si>
  <si>
    <t>Shisler</t>
  </si>
  <si>
    <t>Ryan</t>
  </si>
  <si>
    <t>Taimanglo</t>
  </si>
  <si>
    <t>Napu</t>
  </si>
  <si>
    <t>Umoumoch</t>
  </si>
  <si>
    <t>Arlene</t>
  </si>
  <si>
    <t>Regina W</t>
  </si>
  <si>
    <t>Hersalyn</t>
  </si>
  <si>
    <t>Umwech</t>
  </si>
  <si>
    <t>Elain Diane</t>
  </si>
  <si>
    <t>Difference</t>
  </si>
  <si>
    <t>ENTER LOAN AMOUNTS HERE</t>
  </si>
  <si>
    <t>TIPS - BOH (KITCHEN)</t>
  </si>
  <si>
    <t>PAY PERIOD ENDING</t>
  </si>
  <si>
    <t>PAY DAY</t>
  </si>
  <si>
    <t>TIPS - FOH (JOINT)</t>
  </si>
  <si>
    <t>LOAN AMOUNTS</t>
  </si>
  <si>
    <t>LOANS AND TIPS FOR ENTRY INTO MASTER FILE</t>
  </si>
  <si>
    <t>TIPS - BOH</t>
  </si>
  <si>
    <t>TIPS - FOH</t>
  </si>
  <si>
    <t>TOTAL TIPS</t>
  </si>
  <si>
    <t>From Individual Tabs</t>
  </si>
  <si>
    <t>ENTER INTO MASTER FILE</t>
  </si>
  <si>
    <t>ENTER TIP AMOUNTS HERE</t>
  </si>
  <si>
    <t>Worswick</t>
  </si>
  <si>
    <t xml:space="preserve">Earl </t>
  </si>
  <si>
    <t>Zach</t>
  </si>
  <si>
    <t>Doug</t>
  </si>
  <si>
    <t>Charlie</t>
  </si>
  <si>
    <t>Johnny</t>
  </si>
  <si>
    <t xml:space="preserve">Fred </t>
  </si>
  <si>
    <t>LOANS (DO NOT INCLUDE LOAN AMOUNTS WITH INSTALLMENT PAYMENTS)</t>
  </si>
  <si>
    <t>ENTER NEW LOAN AMOUNTS HERE (ONLY IF THERE ARE ADDITIONS THIS PAY PERIOD)</t>
  </si>
  <si>
    <t>Payment This Pay Period</t>
  </si>
  <si>
    <t>Estimated Ending Balance</t>
  </si>
  <si>
    <t>*No need to enter any amounts if there are no additions for the pay period</t>
  </si>
  <si>
    <t>LOANS (Do NOT Enter Any Amounts with Installment Payments)</t>
  </si>
  <si>
    <t>Dory</t>
  </si>
  <si>
    <t>Songeni</t>
  </si>
  <si>
    <t>Dorleen</t>
  </si>
  <si>
    <t>Trina</t>
  </si>
  <si>
    <t>Haser</t>
  </si>
  <si>
    <t>Esleen</t>
  </si>
  <si>
    <t>joint</t>
  </si>
  <si>
    <t>Fredly</t>
  </si>
  <si>
    <t>Rhaym</t>
  </si>
  <si>
    <t>Sina</t>
  </si>
  <si>
    <t>Charles</t>
  </si>
  <si>
    <t>Jamar</t>
  </si>
  <si>
    <t>McWhorter</t>
  </si>
  <si>
    <t>Nicolette</t>
  </si>
  <si>
    <t>Roberto</t>
  </si>
  <si>
    <t>Nicky</t>
  </si>
  <si>
    <t>Mariano</t>
  </si>
  <si>
    <t>Brandon</t>
  </si>
  <si>
    <t>Maintenance</t>
  </si>
  <si>
    <t xml:space="preserve">Thomas </t>
  </si>
  <si>
    <t>Natalie</t>
  </si>
  <si>
    <t>Torres-Perez</t>
  </si>
  <si>
    <t>Andrew</t>
  </si>
  <si>
    <t>Thomas</t>
  </si>
  <si>
    <t>Germickson</t>
  </si>
  <si>
    <t>Fritz</t>
  </si>
  <si>
    <t>Martin</t>
  </si>
  <si>
    <t>George</t>
  </si>
  <si>
    <t>Setik</t>
  </si>
  <si>
    <t>Kaya</t>
  </si>
  <si>
    <t>Tubiera</t>
  </si>
  <si>
    <t>Sipia</t>
  </si>
  <si>
    <t>K-Sanean</t>
  </si>
  <si>
    <t>J-one</t>
  </si>
  <si>
    <t>Germick</t>
  </si>
  <si>
    <t>Monique</t>
  </si>
  <si>
    <t>Mo</t>
  </si>
  <si>
    <t>Ava</t>
  </si>
  <si>
    <t>Larimer</t>
  </si>
  <si>
    <t>Sarahissa</t>
  </si>
  <si>
    <t>Sarah</t>
  </si>
  <si>
    <t>Julie</t>
  </si>
  <si>
    <t>Arthur</t>
  </si>
  <si>
    <t>Judy</t>
  </si>
  <si>
    <t>Mochan</t>
  </si>
  <si>
    <t>Atsy</t>
  </si>
  <si>
    <t>Toreph</t>
  </si>
  <si>
    <t>Rose</t>
  </si>
  <si>
    <t>Gumataotao</t>
  </si>
  <si>
    <t>Roselaine</t>
  </si>
  <si>
    <t>Shiloh</t>
  </si>
  <si>
    <t>Muna-Brecht</t>
  </si>
  <si>
    <t>Cienna Riley</t>
  </si>
  <si>
    <t>J-One</t>
  </si>
  <si>
    <t>Regina</t>
  </si>
  <si>
    <t>Beginning Balance as of PPE 1/24/2026</t>
  </si>
  <si>
    <t>Nena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</si>
</sst>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1" xfId="0" applyFont="1" applyBorder="1" applyAlignment="1">
      <alignment wrapText="1"/>
    </xf>
    <xf numFmtId="44" fontId="6" fillId="0" borderId="0" xfId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4" fontId="8" fillId="0" borderId="0" xfId="1" applyFont="1" applyFill="1"/>
    <xf numFmtId="44" fontId="8" fillId="0" borderId="0" xfId="1" applyFont="1" applyProtection="1">
      <protection locked="0"/>
    </xf>
    <xf numFmtId="44" fontId="8" fillId="0" borderId="0" xfId="1" applyFont="1"/>
    <xf numFmtId="44" fontId="5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9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2" fillId="2" borderId="0" xfId="0" applyNumberFormat="1" applyFont="1" applyFill="1"/>
    <xf numFmtId="44" fontId="5" fillId="0" borderId="1" xfId="1" applyFont="1" applyFill="1" applyBorder="1" applyAlignment="1">
      <alignment horizontal="center" wrapText="1"/>
    </xf>
    <xf numFmtId="44" fontId="8" fillId="0" borderId="1" xfId="1" applyFont="1" applyFill="1" applyBorder="1"/>
    <xf numFmtId="44" fontId="6" fillId="0" borderId="0" xfId="1" applyFont="1" applyFill="1"/>
    <xf numFmtId="44" fontId="8" fillId="0" borderId="0" xfId="1" applyFont="1" applyFill="1" applyProtection="1">
      <protection locked="0"/>
    </xf>
    <xf numFmtId="44" fontId="9" fillId="0" borderId="0" xfId="1" applyFont="1"/>
    <xf numFmtId="44" fontId="8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44" fontId="5" fillId="0" borderId="0" xfId="1" applyFont="1"/>
    <xf numFmtId="44" fontId="5" fillId="0" borderId="0" xfId="1" applyFont="1" applyFill="1"/>
    <xf numFmtId="44" fontId="0" fillId="0" borderId="0" xfId="1" applyFont="1"/>
    <xf numFmtId="44" fontId="5" fillId="0" borderId="0" xfId="1" applyFont="1" applyFill="1" applyBorder="1" applyAlignment="1">
      <alignment horizontal="center" wrapText="1"/>
    </xf>
    <xf numFmtId="44" fontId="8" fillId="0" borderId="0" xfId="1" applyFont="1" applyFill="1" applyBorder="1"/>
    <xf numFmtId="44" fontId="6" fillId="0" borderId="0" xfId="1" applyFont="1" applyFill="1" applyBorder="1"/>
    <xf numFmtId="44" fontId="5" fillId="0" borderId="0" xfId="1" applyFont="1" applyFill="1" applyBorder="1"/>
    <xf numFmtId="44" fontId="8" fillId="0" borderId="0" xfId="1" applyFont="1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3" fillId="0" borderId="0" xfId="1" applyFont="1" applyFill="1"/>
    <xf numFmtId="8" fontId="3" fillId="0" borderId="0" xfId="0" applyNumberFormat="1" applyFont="1"/>
    <xf numFmtId="6" fontId="3" fillId="0" borderId="0" xfId="0" applyNumberFormat="1" applyFont="1"/>
    <xf numFmtId="49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8" fillId="3" borderId="1" xfId="1" applyFont="1" applyFill="1" applyBorder="1"/>
    <xf numFmtId="44" fontId="8" fillId="3" borderId="1" xfId="1" applyFont="1" applyFill="1" applyBorder="1" applyProtection="1">
      <protection locked="0"/>
    </xf>
    <xf numFmtId="44" fontId="0" fillId="0" borderId="0" xfId="1" applyFont="1" applyFill="1"/>
    <xf numFmtId="0" fontId="3" fillId="0" borderId="1" xfId="0" applyFont="1" applyBorder="1" applyAlignment="1">
      <alignment horizontal="center" wrapText="1"/>
    </xf>
    <xf numFmtId="44" fontId="8" fillId="5" borderId="1" xfId="1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8" fillId="3" borderId="1" xfId="1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4" fontId="8" fillId="3" borderId="0" xfId="1" applyFont="1" applyFill="1" applyBorder="1"/>
    <xf numFmtId="44" fontId="9" fillId="0" borderId="0" xfId="1" applyFont="1" applyBorder="1"/>
    <xf numFmtId="44" fontId="8" fillId="0" borderId="0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Border="1"/>
    <xf numFmtId="44" fontId="0" fillId="0" borderId="0" xfId="1" applyFont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49" fontId="4" fillId="0" borderId="5" xfId="0" applyNumberFormat="1" applyFont="1" applyBorder="1" applyAlignment="1">
      <alignment horizontal="center"/>
    </xf>
    <xf numFmtId="44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 wrapText="1"/>
    </xf>
    <xf numFmtId="0" fontId="3" fillId="0" borderId="6" xfId="0" applyFont="1" applyBorder="1"/>
    <xf numFmtId="49" fontId="4" fillId="0" borderId="7" xfId="0" applyNumberFormat="1" applyFont="1" applyBorder="1" applyAlignment="1">
      <alignment horizontal="center"/>
    </xf>
    <xf numFmtId="0" fontId="3" fillId="0" borderId="7" xfId="0" applyFont="1" applyBorder="1"/>
    <xf numFmtId="44" fontId="3" fillId="0" borderId="7" xfId="1" applyFont="1" applyFill="1" applyBorder="1"/>
    <xf numFmtId="44" fontId="8" fillId="0" borderId="8" xfId="1" applyFont="1" applyFill="1" applyBorder="1"/>
    <xf numFmtId="0" fontId="3" fillId="0" borderId="9" xfId="0" applyFont="1" applyBorder="1"/>
    <xf numFmtId="44" fontId="8" fillId="0" borderId="10" xfId="1" applyFont="1" applyFill="1" applyBorder="1"/>
    <xf numFmtId="49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9F9-8ADD-471B-AADE-A7410DEA883E}">
  <dimension ref="A1:K154"/>
  <sheetViews>
    <sheetView tabSelected="1" topLeftCell="A9" zoomScale="110" zoomScaleNormal="110" workbookViewId="0">
      <selection activeCell="F33" sqref="F33"/>
    </sheetView>
  </sheetViews>
  <sheetFormatPr defaultRowHeight="15" x14ac:dyDescent="0.25"/>
  <cols>
    <col min="2" max="2" width="20.5703125" bestFit="1" customWidth="1"/>
    <col min="3" max="3" width="13.28515625" customWidth="1"/>
    <col min="4" max="4" width="20" bestFit="1" customWidth="1"/>
    <col min="6" max="6" width="20.5703125" style="33" bestFit="1" customWidth="1"/>
  </cols>
  <sheetData>
    <row r="1" spans="1:6" x14ac:dyDescent="0.25">
      <c r="A1" s="1" t="s">
        <v>121</v>
      </c>
      <c r="F1"/>
    </row>
    <row r="2" spans="1:6" x14ac:dyDescent="0.25">
      <c r="A2" s="2" t="s">
        <v>122</v>
      </c>
      <c r="B2" s="2"/>
      <c r="C2" s="23">
        <v>46046</v>
      </c>
    </row>
    <row r="3" spans="1:6" x14ac:dyDescent="0.25">
      <c r="A3" s="2" t="s">
        <v>123</v>
      </c>
      <c r="B3" s="2"/>
      <c r="C3" s="23">
        <v>46051</v>
      </c>
    </row>
    <row r="4" spans="1:6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6" s="22" customFormat="1" ht="15.75" x14ac:dyDescent="0.25">
      <c r="A5" s="6"/>
      <c r="B5" s="21"/>
      <c r="C5" s="21"/>
      <c r="D5" s="21"/>
      <c r="E5" s="6"/>
      <c r="F5" s="18"/>
    </row>
    <row r="6" spans="1:6" s="8" customFormat="1" ht="15.75" x14ac:dyDescent="0.25">
      <c r="A6" s="7">
        <v>1</v>
      </c>
      <c r="B6" s="4"/>
      <c r="C6" s="4" t="s">
        <v>167</v>
      </c>
      <c r="D6" s="4" t="s">
        <v>168</v>
      </c>
      <c r="E6" s="7" t="s">
        <v>11</v>
      </c>
      <c r="F6" s="46">
        <v>105.32</v>
      </c>
    </row>
    <row r="7" spans="1:6" s="8" customFormat="1" ht="15.75" x14ac:dyDescent="0.25">
      <c r="A7" s="7">
        <f>A6+1</f>
        <v>2</v>
      </c>
      <c r="B7" s="4"/>
      <c r="C7" s="4" t="s">
        <v>192</v>
      </c>
      <c r="D7" s="4" t="s">
        <v>191</v>
      </c>
      <c r="E7" s="7" t="s">
        <v>11</v>
      </c>
      <c r="F7" s="46">
        <v>72.44</v>
      </c>
    </row>
    <row r="8" spans="1:6" s="8" customFormat="1" ht="15.75" x14ac:dyDescent="0.25">
      <c r="A8" s="7">
        <f>A7+1</f>
        <v>3</v>
      </c>
      <c r="B8" s="4" t="s">
        <v>73</v>
      </c>
      <c r="C8" s="4" t="s">
        <v>74</v>
      </c>
      <c r="D8" s="4" t="s">
        <v>75</v>
      </c>
      <c r="E8" s="7" t="s">
        <v>11</v>
      </c>
      <c r="F8" s="46">
        <v>119.69</v>
      </c>
    </row>
    <row r="9" spans="1:6" s="8" customFormat="1" ht="15.75" x14ac:dyDescent="0.25">
      <c r="A9" s="7">
        <v>3</v>
      </c>
      <c r="B9" s="4" t="s">
        <v>137</v>
      </c>
      <c r="C9" s="4" t="s">
        <v>76</v>
      </c>
      <c r="D9" s="4" t="s">
        <v>156</v>
      </c>
      <c r="E9" s="7" t="s">
        <v>11</v>
      </c>
      <c r="F9" s="46">
        <v>151.88</v>
      </c>
    </row>
    <row r="10" spans="1:6" s="8" customFormat="1" ht="15.75" x14ac:dyDescent="0.25">
      <c r="A10" s="7">
        <f>A9+1</f>
        <v>4</v>
      </c>
      <c r="B10" s="4"/>
      <c r="C10" s="4" t="s">
        <v>21</v>
      </c>
      <c r="D10" s="4" t="s">
        <v>22</v>
      </c>
      <c r="E10" s="7" t="s">
        <v>11</v>
      </c>
      <c r="F10" s="46">
        <v>127.71</v>
      </c>
    </row>
    <row r="11" spans="1:6" s="8" customFormat="1" ht="15.75" x14ac:dyDescent="0.25">
      <c r="A11" s="7">
        <f>A10+1</f>
        <v>5</v>
      </c>
      <c r="B11" s="4"/>
      <c r="C11" s="4" t="s">
        <v>32</v>
      </c>
      <c r="D11" s="4" t="s">
        <v>33</v>
      </c>
      <c r="E11" s="7" t="s">
        <v>11</v>
      </c>
      <c r="F11" s="46">
        <v>140.38</v>
      </c>
    </row>
    <row r="12" spans="1:6" s="8" customFormat="1" ht="15.75" x14ac:dyDescent="0.25">
      <c r="A12" s="7">
        <f>A11+1</f>
        <v>6</v>
      </c>
      <c r="B12" s="4" t="s">
        <v>116</v>
      </c>
      <c r="C12" s="4" t="s">
        <v>117</v>
      </c>
      <c r="D12" s="4" t="s">
        <v>118</v>
      </c>
      <c r="E12" s="7" t="s">
        <v>11</v>
      </c>
      <c r="F12" s="47">
        <v>130.63</v>
      </c>
    </row>
    <row r="13" spans="1:6" s="8" customFormat="1" ht="15.75" x14ac:dyDescent="0.25">
      <c r="A13" s="7">
        <v>7</v>
      </c>
      <c r="B13" s="4"/>
      <c r="C13" s="4" t="s">
        <v>171</v>
      </c>
      <c r="D13" s="4" t="s">
        <v>170</v>
      </c>
      <c r="E13" s="7" t="s">
        <v>11</v>
      </c>
      <c r="F13" s="46">
        <v>94.4</v>
      </c>
    </row>
    <row r="14" spans="1:6" s="8" customFormat="1" ht="15.75" x14ac:dyDescent="0.25">
      <c r="A14" s="7">
        <f>A13+1</f>
        <v>8</v>
      </c>
      <c r="B14" s="4"/>
      <c r="C14" s="4" t="s">
        <v>48</v>
      </c>
      <c r="D14" s="4" t="s">
        <v>49</v>
      </c>
      <c r="E14" s="7" t="s">
        <v>11</v>
      </c>
      <c r="F14" s="46">
        <v>107.86</v>
      </c>
    </row>
    <row r="15" spans="1:6" s="8" customFormat="1" ht="15.75" x14ac:dyDescent="0.25">
      <c r="A15" s="7">
        <f>A14+1</f>
        <v>9</v>
      </c>
      <c r="B15" s="4"/>
      <c r="C15" s="4" t="s">
        <v>69</v>
      </c>
      <c r="D15" s="4" t="s">
        <v>70</v>
      </c>
      <c r="E15" s="7" t="s">
        <v>11</v>
      </c>
      <c r="F15" s="46">
        <v>136.68</v>
      </c>
    </row>
    <row r="16" spans="1:6" s="8" customFormat="1" ht="15.75" x14ac:dyDescent="0.25">
      <c r="A16" s="7">
        <f>A15+1</f>
        <v>10</v>
      </c>
      <c r="B16" s="3"/>
      <c r="C16" s="3" t="s">
        <v>102</v>
      </c>
      <c r="D16" s="3" t="s">
        <v>199</v>
      </c>
      <c r="E16" s="7" t="s">
        <v>11</v>
      </c>
      <c r="F16" s="46">
        <v>99.71</v>
      </c>
    </row>
    <row r="17" spans="1:11" s="8" customFormat="1" ht="15.75" x14ac:dyDescent="0.25">
      <c r="A17" s="7">
        <v>14</v>
      </c>
      <c r="B17" s="4"/>
      <c r="C17" s="4" t="s">
        <v>190</v>
      </c>
      <c r="D17" s="4" t="s">
        <v>189</v>
      </c>
      <c r="E17" s="7" t="s">
        <v>11</v>
      </c>
      <c r="F17" s="54">
        <v>132.78</v>
      </c>
    </row>
    <row r="18" spans="1:11" s="8" customFormat="1" ht="15.75" x14ac:dyDescent="0.25">
      <c r="A18" s="7">
        <f>A17+1</f>
        <v>15</v>
      </c>
      <c r="B18" s="4"/>
      <c r="C18" s="4" t="s">
        <v>188</v>
      </c>
      <c r="D18" s="4" t="s">
        <v>187</v>
      </c>
      <c r="E18" s="7" t="s">
        <v>11</v>
      </c>
      <c r="F18" s="47">
        <v>75.680000000000007</v>
      </c>
    </row>
    <row r="19" spans="1:11" s="8" customFormat="1" ht="15.75" x14ac:dyDescent="0.25">
      <c r="A19" s="7">
        <f>A18+1</f>
        <v>16</v>
      </c>
      <c r="B19" s="4"/>
      <c r="C19" s="4" t="s">
        <v>177</v>
      </c>
      <c r="D19" s="4" t="s">
        <v>178</v>
      </c>
      <c r="E19" s="7" t="s">
        <v>11</v>
      </c>
      <c r="F19" s="46">
        <v>90.17</v>
      </c>
    </row>
    <row r="20" spans="1:11" s="8" customFormat="1" ht="15.75" x14ac:dyDescent="0.25">
      <c r="A20" s="7">
        <f>A19+1</f>
        <v>17</v>
      </c>
      <c r="B20" s="4" t="s">
        <v>104</v>
      </c>
      <c r="C20" s="4" t="s">
        <v>105</v>
      </c>
      <c r="D20" s="4" t="s">
        <v>106</v>
      </c>
      <c r="E20" s="7" t="s">
        <v>11</v>
      </c>
      <c r="F20" s="47">
        <v>156.38999999999999</v>
      </c>
    </row>
    <row r="21" spans="1:11" s="8" customFormat="1" ht="15.75" x14ac:dyDescent="0.25">
      <c r="A21" s="7">
        <v>15</v>
      </c>
      <c r="B21" s="4"/>
      <c r="C21" s="4" t="s">
        <v>172</v>
      </c>
      <c r="D21" s="4" t="s">
        <v>172</v>
      </c>
      <c r="E21" s="7" t="s">
        <v>11</v>
      </c>
      <c r="F21" s="46">
        <v>69.77</v>
      </c>
    </row>
    <row r="22" spans="1:11" s="8" customFormat="1" ht="15.75" x14ac:dyDescent="0.25">
      <c r="A22" s="7">
        <f>A21+1</f>
        <v>16</v>
      </c>
      <c r="B22" s="4" t="s">
        <v>107</v>
      </c>
      <c r="C22" s="4" t="s">
        <v>105</v>
      </c>
      <c r="D22" s="4" t="s">
        <v>108</v>
      </c>
      <c r="E22" s="7" t="s">
        <v>11</v>
      </c>
      <c r="F22" s="47">
        <v>102.76</v>
      </c>
    </row>
    <row r="23" spans="1:11" s="8" customFormat="1" ht="15.75" x14ac:dyDescent="0.25">
      <c r="A23" s="7">
        <f>A22+1</f>
        <v>17</v>
      </c>
      <c r="B23" s="4" t="s">
        <v>29</v>
      </c>
      <c r="C23" s="4" t="s">
        <v>30</v>
      </c>
      <c r="D23" s="4" t="s">
        <v>31</v>
      </c>
      <c r="E23" s="7" t="s">
        <v>11</v>
      </c>
      <c r="F23" s="46">
        <v>0</v>
      </c>
    </row>
    <row r="24" spans="1:11" s="8" customFormat="1" ht="15.75" x14ac:dyDescent="0.25">
      <c r="A24" s="7">
        <f>A23+1</f>
        <v>18</v>
      </c>
      <c r="B24" s="4"/>
      <c r="C24" s="4" t="s">
        <v>42</v>
      </c>
      <c r="D24" s="4" t="s">
        <v>43</v>
      </c>
      <c r="E24" s="7" t="s">
        <v>11</v>
      </c>
      <c r="F24" s="46">
        <v>114.85</v>
      </c>
    </row>
    <row r="25" spans="1:11" s="8" customFormat="1" ht="15.75" x14ac:dyDescent="0.25">
      <c r="A25" s="7">
        <v>19</v>
      </c>
      <c r="B25" s="4" t="s">
        <v>161</v>
      </c>
      <c r="C25" s="4" t="s">
        <v>160</v>
      </c>
      <c r="D25" s="4" t="s">
        <v>159</v>
      </c>
      <c r="E25" s="7" t="s">
        <v>11</v>
      </c>
      <c r="F25" s="46">
        <v>69.44</v>
      </c>
    </row>
    <row r="26" spans="1:11" s="8" customFormat="1" ht="15.75" x14ac:dyDescent="0.25">
      <c r="A26" s="7">
        <f t="shared" ref="A26:A31" si="0">A25+1</f>
        <v>20</v>
      </c>
      <c r="B26" s="4"/>
      <c r="C26" s="4" t="s">
        <v>113</v>
      </c>
      <c r="D26" s="4" t="s">
        <v>115</v>
      </c>
      <c r="E26" s="7" t="s">
        <v>11</v>
      </c>
      <c r="F26" s="47">
        <v>103.49</v>
      </c>
    </row>
    <row r="27" spans="1:11" s="8" customFormat="1" ht="15.75" x14ac:dyDescent="0.25">
      <c r="A27" s="7">
        <f t="shared" si="0"/>
        <v>21</v>
      </c>
      <c r="B27" s="4"/>
      <c r="C27" s="4" t="s">
        <v>154</v>
      </c>
      <c r="D27" s="4" t="s">
        <v>155</v>
      </c>
      <c r="E27" s="7" t="s">
        <v>11</v>
      </c>
      <c r="F27" s="47">
        <v>90.49</v>
      </c>
    </row>
    <row r="28" spans="1:11" s="8" customFormat="1" ht="15.75" x14ac:dyDescent="0.25">
      <c r="A28" s="7">
        <f t="shared" si="0"/>
        <v>22</v>
      </c>
      <c r="B28" s="4"/>
      <c r="C28" s="4" t="s">
        <v>48</v>
      </c>
      <c r="D28" s="4" t="s">
        <v>50</v>
      </c>
      <c r="E28" s="7" t="s">
        <v>11</v>
      </c>
      <c r="F28" s="46">
        <v>128.55000000000001</v>
      </c>
    </row>
    <row r="29" spans="1:11" s="8" customFormat="1" ht="15.75" x14ac:dyDescent="0.25">
      <c r="A29" s="7">
        <f t="shared" si="0"/>
        <v>23</v>
      </c>
      <c r="B29" s="4"/>
      <c r="C29" s="4" t="s">
        <v>92</v>
      </c>
      <c r="D29" s="4" t="s">
        <v>93</v>
      </c>
      <c r="E29" s="7" t="s">
        <v>11</v>
      </c>
      <c r="F29" s="46">
        <v>0</v>
      </c>
    </row>
    <row r="30" spans="1:11" s="8" customFormat="1" ht="15.75" x14ac:dyDescent="0.25">
      <c r="A30" s="7">
        <f t="shared" si="0"/>
        <v>24</v>
      </c>
      <c r="B30" s="4"/>
      <c r="C30" s="4" t="s">
        <v>44</v>
      </c>
      <c r="D30" s="4" t="s">
        <v>45</v>
      </c>
      <c r="E30" s="7" t="s">
        <v>11</v>
      </c>
      <c r="F30" s="46">
        <v>110.53</v>
      </c>
    </row>
    <row r="31" spans="1:11" s="8" customFormat="1" ht="15.75" x14ac:dyDescent="0.25">
      <c r="A31" s="7">
        <f t="shared" si="0"/>
        <v>25</v>
      </c>
      <c r="B31" s="4"/>
      <c r="C31" s="4" t="s">
        <v>65</v>
      </c>
      <c r="D31" s="4" t="s">
        <v>66</v>
      </c>
      <c r="E31" s="7" t="s">
        <v>11</v>
      </c>
      <c r="F31" s="46">
        <v>134.36000000000001</v>
      </c>
    </row>
    <row r="32" spans="1:11" s="8" customFormat="1" ht="15.75" x14ac:dyDescent="0.25">
      <c r="A32" s="7">
        <v>27</v>
      </c>
      <c r="B32" s="4" t="s">
        <v>8</v>
      </c>
      <c r="C32" s="4" t="s">
        <v>9</v>
      </c>
      <c r="D32" s="4" t="s">
        <v>10</v>
      </c>
      <c r="E32" s="7" t="s">
        <v>11</v>
      </c>
      <c r="F32" s="46">
        <v>33.56</v>
      </c>
      <c r="K32" s="41"/>
    </row>
    <row r="33" spans="1:6" s="8" customFormat="1" ht="15.75" x14ac:dyDescent="0.25">
      <c r="B33" s="44"/>
      <c r="C33" s="44"/>
      <c r="D33" s="44"/>
      <c r="F33" s="55"/>
    </row>
    <row r="34" spans="1:6" s="14" customFormat="1" ht="15.75" x14ac:dyDescent="0.25">
      <c r="A34" s="12"/>
      <c r="B34" s="13"/>
      <c r="C34" s="13"/>
      <c r="D34" s="19" t="s">
        <v>4</v>
      </c>
      <c r="E34" s="20"/>
      <c r="F34" s="31">
        <f>SUM(F6:F33)</f>
        <v>2699.52</v>
      </c>
    </row>
    <row r="35" spans="1:6" s="8" customFormat="1" ht="15.75" x14ac:dyDescent="0.25">
      <c r="A35"/>
      <c r="B35" s="5"/>
      <c r="C35" s="5"/>
      <c r="D35" s="5"/>
      <c r="F35" s="16"/>
    </row>
    <row r="36" spans="1:6" s="8" customFormat="1" ht="15.75" x14ac:dyDescent="0.25">
      <c r="A36"/>
      <c r="B36" s="5"/>
      <c r="C36" s="5"/>
      <c r="D36" s="5"/>
      <c r="F36" s="16"/>
    </row>
    <row r="37" spans="1:6" s="8" customFormat="1" ht="15.75" x14ac:dyDescent="0.25">
      <c r="A37"/>
      <c r="B37" s="5"/>
      <c r="C37" s="5"/>
      <c r="D37" s="5"/>
      <c r="F37" s="15"/>
    </row>
    <row r="38" spans="1:6" s="8" customFormat="1" ht="15.75" x14ac:dyDescent="0.25">
      <c r="A38"/>
      <c r="B38" s="5"/>
      <c r="C38" s="5"/>
      <c r="D38" s="5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6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7"/>
    </row>
    <row r="54" spans="1:6" s="8" customFormat="1" ht="15.75" x14ac:dyDescent="0.25">
      <c r="A54"/>
      <c r="B54" s="5"/>
      <c r="C54" s="5"/>
      <c r="D54" s="13"/>
      <c r="E54" s="14"/>
      <c r="F54" s="17"/>
    </row>
    <row r="55" spans="1:6" s="8" customFormat="1" ht="15.75" x14ac:dyDescent="0.25">
      <c r="A55"/>
      <c r="B55" s="5"/>
      <c r="C55" s="5"/>
      <c r="D55" s="13"/>
      <c r="E55" s="14"/>
      <c r="F55" s="17"/>
    </row>
    <row r="56" spans="1:6" s="8" customFormat="1" ht="15.75" x14ac:dyDescent="0.25">
      <c r="A56"/>
      <c r="B56" s="5"/>
      <c r="C56" s="5"/>
      <c r="D56" s="13"/>
      <c r="E56" s="14"/>
      <c r="F56" s="17"/>
    </row>
    <row r="57" spans="1:6" s="8" customFormat="1" ht="15.75" x14ac:dyDescent="0.25">
      <c r="A57"/>
      <c r="B57" s="5"/>
      <c r="C57" s="5"/>
      <c r="D57" s="13"/>
      <c r="E57" s="14"/>
      <c r="F57" s="17"/>
    </row>
    <row r="58" spans="1:6" s="8" customFormat="1" ht="15.75" x14ac:dyDescent="0.25">
      <c r="A58"/>
      <c r="B58" s="5"/>
      <c r="C58" s="5"/>
      <c r="D58" s="13"/>
      <c r="E58" s="14"/>
      <c r="F58" s="11"/>
    </row>
    <row r="59" spans="1:6" s="8" customFormat="1" ht="15.75" x14ac:dyDescent="0.25">
      <c r="A59"/>
      <c r="B59" s="5"/>
      <c r="C59" s="5"/>
      <c r="D59" s="13"/>
      <c r="E59" s="14"/>
      <c r="F59" s="11"/>
    </row>
    <row r="60" spans="1:6" s="8" customFormat="1" ht="15.75" x14ac:dyDescent="0.25">
      <c r="A60"/>
      <c r="B60" s="5"/>
      <c r="C60" s="5"/>
      <c r="D60" s="13"/>
      <c r="E60" s="14"/>
      <c r="F60" s="11"/>
    </row>
    <row r="61" spans="1:6" s="8" customFormat="1" ht="15.75" x14ac:dyDescent="0.25">
      <c r="A61"/>
      <c r="B61" s="5"/>
      <c r="C61" s="5"/>
      <c r="D61" s="13"/>
      <c r="E61" s="14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</sheetData>
  <sortState xmlns:xlrd2="http://schemas.microsoft.com/office/spreadsheetml/2017/richdata2" ref="A6:K32">
    <sortCondition ref="D6:D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7C4B-146A-406F-91C6-8A3536DA6B0B}">
  <dimension ref="A1:J149"/>
  <sheetViews>
    <sheetView zoomScale="120" zoomScaleNormal="120" workbookViewId="0">
      <pane xSplit="4" ySplit="4" topLeftCell="E6" activePane="bottomRight" state="frozen"/>
      <selection pane="topRight" activeCell="E1" sqref="E1"/>
      <selection pane="bottomLeft" activeCell="A5" sqref="A5"/>
      <selection pane="bottomRight" activeCell="F29" sqref="F29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style="33" bestFit="1" customWidth="1"/>
  </cols>
  <sheetData>
    <row r="1" spans="1:10" x14ac:dyDescent="0.25">
      <c r="A1" s="1" t="s">
        <v>124</v>
      </c>
      <c r="F1" s="60"/>
    </row>
    <row r="2" spans="1:10" x14ac:dyDescent="0.25">
      <c r="A2" s="2" t="s">
        <v>122</v>
      </c>
      <c r="B2" s="2"/>
      <c r="C2" s="23">
        <v>46046</v>
      </c>
      <c r="F2" s="60"/>
    </row>
    <row r="3" spans="1:10" x14ac:dyDescent="0.25">
      <c r="A3" s="2" t="s">
        <v>123</v>
      </c>
      <c r="B3" s="2"/>
      <c r="C3" s="23">
        <v>46051</v>
      </c>
    </row>
    <row r="4" spans="1:10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0" s="8" customFormat="1" ht="15.75" x14ac:dyDescent="0.25">
      <c r="A5" s="7">
        <v>1</v>
      </c>
      <c r="B5" s="4"/>
      <c r="C5" s="4" t="s">
        <v>17</v>
      </c>
      <c r="D5" s="4" t="s">
        <v>183</v>
      </c>
      <c r="E5" s="7" t="s">
        <v>14</v>
      </c>
      <c r="F5" s="47">
        <v>70.69</v>
      </c>
    </row>
    <row r="6" spans="1:10" s="8" customFormat="1" ht="15.75" x14ac:dyDescent="0.25">
      <c r="A6" s="7">
        <v>2</v>
      </c>
      <c r="B6" s="4"/>
      <c r="C6" s="4" t="s">
        <v>39</v>
      </c>
      <c r="D6" s="4" t="s">
        <v>40</v>
      </c>
      <c r="E6" s="7" t="s">
        <v>14</v>
      </c>
      <c r="F6" s="46">
        <v>842.28</v>
      </c>
    </row>
    <row r="7" spans="1:10" s="8" customFormat="1" ht="15.75" x14ac:dyDescent="0.25">
      <c r="A7" s="7">
        <v>3</v>
      </c>
      <c r="B7" s="4"/>
      <c r="C7" s="4" t="s">
        <v>17</v>
      </c>
      <c r="D7" s="4" t="s">
        <v>18</v>
      </c>
      <c r="E7" s="7" t="s">
        <v>14</v>
      </c>
      <c r="F7" s="46">
        <v>778.46</v>
      </c>
    </row>
    <row r="8" spans="1:10" s="8" customFormat="1" ht="15.75" x14ac:dyDescent="0.25">
      <c r="A8" s="52">
        <v>4</v>
      </c>
      <c r="B8" s="4" t="s">
        <v>146</v>
      </c>
      <c r="C8" s="4" t="s">
        <v>147</v>
      </c>
      <c r="D8" s="4" t="s">
        <v>148</v>
      </c>
      <c r="E8" s="51" t="s">
        <v>14</v>
      </c>
      <c r="F8" s="53">
        <v>850.48</v>
      </c>
      <c r="G8" s="22"/>
      <c r="H8" s="22"/>
      <c r="I8" s="22"/>
      <c r="J8" s="22"/>
    </row>
    <row r="9" spans="1:10" s="8" customFormat="1" ht="15.75" x14ac:dyDescent="0.25">
      <c r="A9" s="7">
        <v>5</v>
      </c>
      <c r="B9" s="4" t="s">
        <v>136</v>
      </c>
      <c r="C9" s="4" t="s">
        <v>76</v>
      </c>
      <c r="D9" s="4" t="s">
        <v>78</v>
      </c>
      <c r="E9" s="7" t="s">
        <v>14</v>
      </c>
      <c r="F9" s="46">
        <v>616.95000000000005</v>
      </c>
    </row>
    <row r="10" spans="1:10" s="8" customFormat="1" ht="15.75" x14ac:dyDescent="0.25">
      <c r="A10" s="7">
        <f>A9+1</f>
        <v>6</v>
      </c>
      <c r="B10" s="4"/>
      <c r="C10" s="4" t="s">
        <v>71</v>
      </c>
      <c r="D10" s="4" t="s">
        <v>134</v>
      </c>
      <c r="E10" s="7" t="s">
        <v>14</v>
      </c>
      <c r="F10" s="46">
        <v>0</v>
      </c>
    </row>
    <row r="11" spans="1:10" s="8" customFormat="1" ht="15.75" x14ac:dyDescent="0.25">
      <c r="A11" s="7">
        <f>A10+1</f>
        <v>7</v>
      </c>
      <c r="B11" s="4"/>
      <c r="C11" s="4" t="s">
        <v>79</v>
      </c>
      <c r="D11" s="4" t="s">
        <v>80</v>
      </c>
      <c r="E11" s="7" t="s">
        <v>14</v>
      </c>
      <c r="F11" s="46">
        <v>343.89</v>
      </c>
    </row>
    <row r="12" spans="1:10" s="8" customFormat="1" ht="15.75" x14ac:dyDescent="0.25">
      <c r="A12" s="40">
        <v>8</v>
      </c>
      <c r="B12" s="3" t="s">
        <v>149</v>
      </c>
      <c r="C12" s="3" t="s">
        <v>150</v>
      </c>
      <c r="D12" s="3" t="s">
        <v>151</v>
      </c>
      <c r="E12" s="7" t="s">
        <v>14</v>
      </c>
      <c r="F12" s="53">
        <v>66.52</v>
      </c>
    </row>
    <row r="13" spans="1:10" s="8" customFormat="1" ht="15.75" x14ac:dyDescent="0.25">
      <c r="A13" s="7">
        <v>9</v>
      </c>
      <c r="B13" s="4" t="s">
        <v>26</v>
      </c>
      <c r="C13" s="4" t="s">
        <v>139</v>
      </c>
      <c r="D13" s="4" t="s">
        <v>153</v>
      </c>
      <c r="E13" s="7" t="s">
        <v>152</v>
      </c>
      <c r="F13" s="46">
        <v>775.88</v>
      </c>
    </row>
    <row r="14" spans="1:10" s="8" customFormat="1" ht="15.75" x14ac:dyDescent="0.25">
      <c r="A14" s="7">
        <f>A13+1</f>
        <v>10</v>
      </c>
      <c r="B14" s="4"/>
      <c r="C14" s="4" t="s">
        <v>174</v>
      </c>
      <c r="D14" s="4" t="s">
        <v>173</v>
      </c>
      <c r="E14" s="7" t="s">
        <v>14</v>
      </c>
      <c r="F14" s="46">
        <v>96.64</v>
      </c>
    </row>
    <row r="15" spans="1:10" s="8" customFormat="1" ht="15.75" x14ac:dyDescent="0.25">
      <c r="A15" s="7">
        <f>A14+1</f>
        <v>11</v>
      </c>
      <c r="B15" s="4"/>
      <c r="C15" s="4" t="s">
        <v>51</v>
      </c>
      <c r="D15" s="4" t="s">
        <v>52</v>
      </c>
      <c r="E15" s="7" t="s">
        <v>14</v>
      </c>
      <c r="F15" s="46">
        <v>654.14</v>
      </c>
    </row>
    <row r="16" spans="1:10" s="8" customFormat="1" ht="15.75" x14ac:dyDescent="0.25">
      <c r="A16" s="7">
        <v>12</v>
      </c>
      <c r="B16" s="4"/>
      <c r="C16" s="4" t="s">
        <v>158</v>
      </c>
      <c r="D16" s="4" t="s">
        <v>157</v>
      </c>
      <c r="E16" s="7" t="s">
        <v>14</v>
      </c>
      <c r="F16" s="46">
        <v>97.83</v>
      </c>
    </row>
    <row r="17" spans="1:10" s="8" customFormat="1" ht="15.75" x14ac:dyDescent="0.25">
      <c r="A17" s="7">
        <f>A16+1</f>
        <v>13</v>
      </c>
      <c r="B17" s="4" t="s">
        <v>85</v>
      </c>
      <c r="C17" s="4" t="s">
        <v>86</v>
      </c>
      <c r="D17" s="4" t="s">
        <v>87</v>
      </c>
      <c r="E17" s="7" t="s">
        <v>14</v>
      </c>
      <c r="F17" s="47">
        <v>745.18</v>
      </c>
    </row>
    <row r="18" spans="1:10" s="8" customFormat="1" ht="15.75" x14ac:dyDescent="0.25">
      <c r="A18" s="7">
        <f>A17+1</f>
        <v>14</v>
      </c>
      <c r="B18" s="4"/>
      <c r="C18" s="4" t="s">
        <v>133</v>
      </c>
      <c r="D18" s="4" t="s">
        <v>138</v>
      </c>
      <c r="E18" s="7" t="s">
        <v>14</v>
      </c>
      <c r="F18" s="46">
        <v>1295.3</v>
      </c>
    </row>
    <row r="19" spans="1:10" s="8" customFormat="1" ht="15.75" x14ac:dyDescent="0.25">
      <c r="A19" s="7">
        <f>A18+1</f>
        <v>15</v>
      </c>
      <c r="B19" s="4"/>
      <c r="C19" s="4" t="s">
        <v>176</v>
      </c>
      <c r="D19" s="4" t="s">
        <v>175</v>
      </c>
      <c r="E19" s="7" t="s">
        <v>14</v>
      </c>
      <c r="F19" s="47">
        <v>47.16</v>
      </c>
    </row>
    <row r="20" spans="1:10" s="8" customFormat="1" ht="15.75" x14ac:dyDescent="0.25">
      <c r="A20" s="7">
        <v>16</v>
      </c>
      <c r="B20" s="4" t="s">
        <v>182</v>
      </c>
      <c r="C20" s="4" t="s">
        <v>5</v>
      </c>
      <c r="D20" s="4" t="s">
        <v>181</v>
      </c>
      <c r="E20" s="7" t="s">
        <v>14</v>
      </c>
      <c r="F20" s="47">
        <v>57.82</v>
      </c>
    </row>
    <row r="21" spans="1:10" s="8" customFormat="1" ht="15.75" x14ac:dyDescent="0.25">
      <c r="A21" s="7">
        <f>A20+1</f>
        <v>17</v>
      </c>
      <c r="B21" s="4"/>
      <c r="C21" s="4" t="s">
        <v>165</v>
      </c>
      <c r="D21" s="4" t="s">
        <v>166</v>
      </c>
      <c r="E21" s="7" t="s">
        <v>14</v>
      </c>
      <c r="F21" s="47">
        <v>81.61</v>
      </c>
    </row>
    <row r="22" spans="1:10" s="8" customFormat="1" ht="15.75" x14ac:dyDescent="0.25">
      <c r="A22" s="7">
        <f>A21+1</f>
        <v>18</v>
      </c>
      <c r="B22" s="4" t="s">
        <v>193</v>
      </c>
      <c r="C22" s="4" t="s">
        <v>194</v>
      </c>
      <c r="D22" s="4" t="s">
        <v>195</v>
      </c>
      <c r="E22" s="7" t="s">
        <v>14</v>
      </c>
      <c r="F22" s="46">
        <v>70.260000000000005</v>
      </c>
    </row>
    <row r="23" spans="1:10" s="8" customFormat="1" ht="15.75" x14ac:dyDescent="0.25">
      <c r="A23" s="64">
        <v>19</v>
      </c>
      <c r="B23" s="65"/>
      <c r="C23" s="62" t="s">
        <v>109</v>
      </c>
      <c r="D23" s="4" t="s">
        <v>110</v>
      </c>
      <c r="E23" s="63" t="s">
        <v>14</v>
      </c>
      <c r="F23" s="47">
        <v>981.56</v>
      </c>
    </row>
    <row r="24" spans="1:10" s="8" customFormat="1" ht="15.75" x14ac:dyDescent="0.25">
      <c r="A24" s="64">
        <v>20</v>
      </c>
      <c r="B24" s="4" t="s">
        <v>186</v>
      </c>
      <c r="C24" s="62" t="s">
        <v>184</v>
      </c>
      <c r="D24" s="4" t="s">
        <v>185</v>
      </c>
      <c r="E24" s="63" t="s">
        <v>14</v>
      </c>
      <c r="F24" s="47">
        <v>0</v>
      </c>
    </row>
    <row r="25" spans="1:10" s="8" customFormat="1" ht="15.75" x14ac:dyDescent="0.25">
      <c r="A25" s="61">
        <v>21</v>
      </c>
      <c r="B25" s="4"/>
      <c r="C25" s="62" t="s">
        <v>197</v>
      </c>
      <c r="D25" s="4" t="s">
        <v>196</v>
      </c>
      <c r="E25" s="63" t="s">
        <v>14</v>
      </c>
      <c r="F25" s="47">
        <v>31.53</v>
      </c>
    </row>
    <row r="26" spans="1:10" s="8" customFormat="1" ht="15.75" x14ac:dyDescent="0.25">
      <c r="A26" s="61">
        <v>22</v>
      </c>
      <c r="B26" s="4"/>
      <c r="C26" s="4" t="s">
        <v>46</v>
      </c>
      <c r="D26" s="4" t="s">
        <v>47</v>
      </c>
      <c r="E26" s="7" t="s">
        <v>14</v>
      </c>
      <c r="F26" s="46">
        <v>112.8</v>
      </c>
    </row>
    <row r="27" spans="1:10" s="8" customFormat="1" ht="15.75" x14ac:dyDescent="0.25">
      <c r="A27" s="7">
        <v>23</v>
      </c>
      <c r="B27" s="4" t="s">
        <v>82</v>
      </c>
      <c r="C27" s="4" t="s">
        <v>83</v>
      </c>
      <c r="D27" s="4" t="s">
        <v>198</v>
      </c>
      <c r="E27" s="7" t="s">
        <v>14</v>
      </c>
      <c r="F27" s="47">
        <v>1255.0999999999999</v>
      </c>
    </row>
    <row r="28" spans="1:10" s="8" customFormat="1" ht="15.75" x14ac:dyDescent="0.25">
      <c r="A28" s="7">
        <v>24</v>
      </c>
      <c r="B28" s="4" t="s">
        <v>135</v>
      </c>
      <c r="C28" s="4" t="s">
        <v>12</v>
      </c>
      <c r="D28" s="4" t="s">
        <v>13</v>
      </c>
      <c r="E28" s="61" t="s">
        <v>14</v>
      </c>
      <c r="F28" s="46">
        <v>875.27</v>
      </c>
      <c r="J28" s="41"/>
    </row>
    <row r="29" spans="1:10" s="17" customFormat="1" ht="15.75" x14ac:dyDescent="0.25">
      <c r="A29" s="56"/>
      <c r="B29" s="57"/>
      <c r="C29" s="57"/>
      <c r="D29" s="58" t="s">
        <v>4</v>
      </c>
      <c r="E29" s="59"/>
      <c r="F29" s="59">
        <f>SUM(F5:F28)</f>
        <v>10747.35</v>
      </c>
    </row>
    <row r="30" spans="1:10" s="8" customFormat="1" ht="15.75" x14ac:dyDescent="0.25">
      <c r="A30"/>
      <c r="B30" s="5"/>
      <c r="C30" s="5"/>
      <c r="D30" s="5"/>
      <c r="F30" s="16"/>
    </row>
    <row r="31" spans="1:10" s="8" customFormat="1" ht="15.75" x14ac:dyDescent="0.25">
      <c r="A31"/>
      <c r="B31" s="5"/>
      <c r="C31" s="5"/>
      <c r="D31" s="5"/>
      <c r="F31" s="16"/>
    </row>
    <row r="32" spans="1:10" s="8" customFormat="1" ht="15.75" x14ac:dyDescent="0.25">
      <c r="A32"/>
      <c r="B32" s="5"/>
      <c r="C32" s="5"/>
      <c r="D32" s="5"/>
      <c r="F32" s="15"/>
    </row>
    <row r="33" spans="1:6" s="8" customFormat="1" ht="15.75" x14ac:dyDescent="0.25">
      <c r="A33"/>
      <c r="B33" s="5"/>
      <c r="C33" s="5"/>
      <c r="D33" s="5"/>
      <c r="F33" s="17"/>
    </row>
    <row r="34" spans="1:6" s="8" customFormat="1" ht="15.75" x14ac:dyDescent="0.25">
      <c r="A34"/>
      <c r="B34" s="5"/>
      <c r="C34" s="5"/>
      <c r="D34" s="13"/>
      <c r="E34" s="14"/>
      <c r="F34" s="17"/>
    </row>
    <row r="35" spans="1:6" s="8" customFormat="1" ht="15.75" x14ac:dyDescent="0.25">
      <c r="A35"/>
      <c r="B35" s="5"/>
      <c r="C35" s="5"/>
      <c r="D35" s="13"/>
      <c r="E35" s="14"/>
      <c r="F35" s="16"/>
    </row>
    <row r="36" spans="1:6" s="8" customFormat="1" ht="15.75" x14ac:dyDescent="0.25">
      <c r="A36"/>
      <c r="B36" s="5"/>
      <c r="C36" s="5"/>
      <c r="D36" s="13"/>
      <c r="E36" s="14"/>
      <c r="F36" s="17"/>
    </row>
    <row r="37" spans="1:6" s="8" customFormat="1" ht="15.75" x14ac:dyDescent="0.25">
      <c r="A37"/>
      <c r="B37" s="5"/>
      <c r="C37" s="5"/>
      <c r="D37" s="13"/>
      <c r="E37" s="14"/>
      <c r="F37" s="17"/>
    </row>
    <row r="38" spans="1:6" s="8" customFormat="1" ht="15.75" x14ac:dyDescent="0.25">
      <c r="A38"/>
      <c r="B38" s="5"/>
      <c r="C38" s="5"/>
      <c r="D38" s="13"/>
      <c r="E38" s="14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7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1"/>
    </row>
    <row r="54" spans="1:6" s="8" customFormat="1" ht="15.75" x14ac:dyDescent="0.25">
      <c r="A54"/>
      <c r="B54" s="5"/>
      <c r="C54" s="5"/>
      <c r="D54" s="13"/>
      <c r="E54" s="14"/>
      <c r="F54" s="11"/>
    </row>
    <row r="55" spans="1:6" s="8" customFormat="1" ht="15.75" x14ac:dyDescent="0.25">
      <c r="A55"/>
      <c r="B55" s="5"/>
      <c r="C55" s="5"/>
      <c r="D55" s="13"/>
      <c r="E55" s="14"/>
      <c r="F55" s="11"/>
    </row>
    <row r="56" spans="1:6" s="8" customFormat="1" ht="15.75" x14ac:dyDescent="0.25">
      <c r="A56"/>
      <c r="B56" s="5"/>
      <c r="C56" s="5"/>
      <c r="D56" s="13"/>
      <c r="E56" s="14"/>
      <c r="F56" s="11"/>
    </row>
    <row r="57" spans="1:6" s="8" customFormat="1" ht="15.75" x14ac:dyDescent="0.25">
      <c r="A57"/>
      <c r="B57" s="5"/>
      <c r="C57" s="5"/>
      <c r="D57" s="5"/>
      <c r="F57" s="11"/>
    </row>
    <row r="58" spans="1:6" s="8" customFormat="1" ht="15.75" x14ac:dyDescent="0.25">
      <c r="A58"/>
      <c r="B58" s="5"/>
      <c r="C58" s="5"/>
      <c r="D58" s="5"/>
      <c r="F58" s="11"/>
    </row>
    <row r="59" spans="1:6" s="8" customFormat="1" ht="15.75" x14ac:dyDescent="0.25">
      <c r="A59"/>
      <c r="B59" s="5"/>
      <c r="C59" s="5"/>
      <c r="D59" s="5"/>
      <c r="F59" s="11"/>
    </row>
    <row r="60" spans="1:6" s="8" customFormat="1" ht="15.75" x14ac:dyDescent="0.25">
      <c r="A60"/>
      <c r="B60" s="5"/>
      <c r="C60" s="5"/>
      <c r="D60" s="5"/>
      <c r="F60" s="11"/>
    </row>
    <row r="61" spans="1:6" s="8" customFormat="1" ht="15.75" x14ac:dyDescent="0.25">
      <c r="A61"/>
      <c r="B61" s="5"/>
      <c r="C61" s="5"/>
      <c r="D61" s="5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</sheetData>
  <sortState xmlns:xlrd2="http://schemas.microsoft.com/office/spreadsheetml/2017/richdata2" ref="A5:J28">
    <sortCondition ref="D5:D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7DC-3838-4FB9-A0F7-07CE7EC6FD31}">
  <dimension ref="A1:L173"/>
  <sheetViews>
    <sheetView topLeftCell="A28" workbookViewId="0">
      <selection activeCell="G55" sqref="G55"/>
    </sheetView>
  </sheetViews>
  <sheetFormatPr defaultRowHeight="15" x14ac:dyDescent="0.25"/>
  <cols>
    <col min="2" max="2" width="20.5703125" bestFit="1" customWidth="1"/>
    <col min="3" max="3" width="14.7109375" customWidth="1"/>
    <col min="4" max="4" width="20" bestFit="1" customWidth="1"/>
    <col min="5" max="5" width="18.85546875" customWidth="1"/>
    <col min="6" max="6" width="20.5703125" style="33" bestFit="1" customWidth="1"/>
    <col min="7" max="7" width="59" customWidth="1"/>
    <col min="8" max="8" width="12.7109375" customWidth="1"/>
  </cols>
  <sheetData>
    <row r="1" spans="1:12" x14ac:dyDescent="0.25">
      <c r="A1" s="1" t="s">
        <v>145</v>
      </c>
    </row>
    <row r="2" spans="1:12" x14ac:dyDescent="0.25">
      <c r="A2" s="2" t="s">
        <v>122</v>
      </c>
      <c r="B2" s="2"/>
      <c r="C2" s="23">
        <v>46046</v>
      </c>
    </row>
    <row r="3" spans="1:12" x14ac:dyDescent="0.25">
      <c r="A3" s="2" t="s">
        <v>123</v>
      </c>
      <c r="B3" s="2"/>
      <c r="C3" s="23">
        <v>46051</v>
      </c>
    </row>
    <row r="4" spans="1:12" s="5" customFormat="1" ht="31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24" t="s">
        <v>120</v>
      </c>
    </row>
    <row r="5" spans="1:12" s="5" customFormat="1" ht="17.25" customHeight="1" x14ac:dyDescent="0.25">
      <c r="A5" s="7">
        <v>1</v>
      </c>
      <c r="B5" s="4"/>
      <c r="C5" s="4" t="s">
        <v>59</v>
      </c>
      <c r="D5" s="4" t="s">
        <v>60</v>
      </c>
      <c r="E5" s="10" t="s">
        <v>61</v>
      </c>
      <c r="F5" s="50">
        <v>66.819999999999993</v>
      </c>
      <c r="G5" s="8"/>
      <c r="I5" s="8"/>
      <c r="J5" s="8"/>
      <c r="K5" s="8"/>
      <c r="L5" s="8"/>
    </row>
    <row r="6" spans="1:12" s="5" customFormat="1" ht="17.25" customHeight="1" x14ac:dyDescent="0.25">
      <c r="A6" s="7">
        <v>2</v>
      </c>
      <c r="B6" s="4"/>
      <c r="C6" s="4" t="s">
        <v>167</v>
      </c>
      <c r="D6" s="4" t="s">
        <v>168</v>
      </c>
      <c r="E6" s="10" t="s">
        <v>11</v>
      </c>
      <c r="F6" s="50">
        <v>7.5</v>
      </c>
      <c r="G6" s="8"/>
      <c r="I6" s="8"/>
      <c r="J6" s="8"/>
      <c r="K6" s="8"/>
      <c r="L6" s="8"/>
    </row>
    <row r="7" spans="1:12" s="5" customFormat="1" ht="17.25" customHeight="1" x14ac:dyDescent="0.25">
      <c r="A7" s="7">
        <f>A6+1</f>
        <v>3</v>
      </c>
      <c r="B7" s="4"/>
      <c r="C7" s="4" t="s">
        <v>192</v>
      </c>
      <c r="D7" s="4" t="s">
        <v>191</v>
      </c>
      <c r="E7" s="7" t="s">
        <v>11</v>
      </c>
      <c r="F7" s="50">
        <v>90.85</v>
      </c>
      <c r="G7" s="8"/>
      <c r="I7" s="8"/>
      <c r="J7" s="8"/>
      <c r="K7" s="8"/>
      <c r="L7" s="8"/>
    </row>
    <row r="8" spans="1:12" s="8" customFormat="1" ht="15.75" x14ac:dyDescent="0.25">
      <c r="A8" s="7">
        <v>4</v>
      </c>
      <c r="B8" s="4"/>
      <c r="C8" s="4" t="s">
        <v>17</v>
      </c>
      <c r="D8" s="4" t="s">
        <v>183</v>
      </c>
      <c r="E8" s="10" t="s">
        <v>14</v>
      </c>
      <c r="F8" s="50">
        <v>53.66</v>
      </c>
      <c r="H8" s="5"/>
    </row>
    <row r="9" spans="1:12" s="8" customFormat="1" ht="15.75" x14ac:dyDescent="0.25">
      <c r="A9" s="7">
        <v>5</v>
      </c>
      <c r="B9" s="4" t="s">
        <v>73</v>
      </c>
      <c r="C9" s="4" t="s">
        <v>74</v>
      </c>
      <c r="D9" s="4" t="s">
        <v>75</v>
      </c>
      <c r="E9" s="7" t="s">
        <v>11</v>
      </c>
      <c r="F9" s="50">
        <v>104.55</v>
      </c>
      <c r="H9" s="5"/>
      <c r="L9" s="42"/>
    </row>
    <row r="10" spans="1:12" s="8" customFormat="1" ht="15.75" x14ac:dyDescent="0.25">
      <c r="A10" s="7">
        <v>6</v>
      </c>
      <c r="B10" s="4"/>
      <c r="C10" s="4" t="s">
        <v>162</v>
      </c>
      <c r="D10" s="4" t="s">
        <v>163</v>
      </c>
      <c r="E10" s="7" t="s">
        <v>164</v>
      </c>
      <c r="F10" s="50">
        <v>0</v>
      </c>
      <c r="H10" s="5"/>
    </row>
    <row r="11" spans="1:12" s="8" customFormat="1" ht="15.75" x14ac:dyDescent="0.25">
      <c r="A11" s="7">
        <f>A10+1</f>
        <v>7</v>
      </c>
      <c r="B11" s="4"/>
      <c r="C11" s="4" t="s">
        <v>39</v>
      </c>
      <c r="D11" s="4" t="s">
        <v>40</v>
      </c>
      <c r="E11" s="7" t="s">
        <v>14</v>
      </c>
      <c r="F11" s="50">
        <v>59.45</v>
      </c>
      <c r="H11" s="5"/>
    </row>
    <row r="12" spans="1:12" s="8" customFormat="1" ht="15.75" x14ac:dyDescent="0.25">
      <c r="A12" s="7">
        <v>8</v>
      </c>
      <c r="B12" s="4"/>
      <c r="C12" s="4" t="s">
        <v>17</v>
      </c>
      <c r="D12" s="4" t="s">
        <v>18</v>
      </c>
      <c r="E12" s="7" t="s">
        <v>14</v>
      </c>
      <c r="F12" s="50">
        <v>0</v>
      </c>
      <c r="H12" s="5"/>
    </row>
    <row r="13" spans="1:12" s="8" customFormat="1" ht="15.75" x14ac:dyDescent="0.25">
      <c r="A13" s="7">
        <v>9</v>
      </c>
      <c r="B13" s="4"/>
      <c r="C13" s="4" t="s">
        <v>76</v>
      </c>
      <c r="D13" s="4" t="s">
        <v>77</v>
      </c>
      <c r="E13" s="7" t="s">
        <v>14</v>
      </c>
      <c r="F13" s="50">
        <v>92.82</v>
      </c>
      <c r="H13" s="5"/>
    </row>
    <row r="14" spans="1:12" s="8" customFormat="1" ht="15.75" x14ac:dyDescent="0.25">
      <c r="A14" s="7">
        <v>10</v>
      </c>
      <c r="B14" s="4"/>
      <c r="C14" s="4" t="s">
        <v>21</v>
      </c>
      <c r="D14" s="4" t="s">
        <v>22</v>
      </c>
      <c r="E14" s="7" t="s">
        <v>11</v>
      </c>
      <c r="F14" s="50">
        <v>171.74</v>
      </c>
      <c r="H14" s="5"/>
    </row>
    <row r="15" spans="1:12" s="8" customFormat="1" ht="15.75" x14ac:dyDescent="0.25">
      <c r="A15" s="7">
        <v>11</v>
      </c>
      <c r="B15" s="4" t="s">
        <v>146</v>
      </c>
      <c r="C15" s="4" t="s">
        <v>147</v>
      </c>
      <c r="D15" s="4" t="s">
        <v>148</v>
      </c>
      <c r="E15" s="7" t="s">
        <v>11</v>
      </c>
      <c r="F15" s="50">
        <v>47.86</v>
      </c>
      <c r="H15" s="5"/>
    </row>
    <row r="16" spans="1:12" s="8" customFormat="1" ht="15.75" x14ac:dyDescent="0.25">
      <c r="A16" s="7">
        <v>12</v>
      </c>
      <c r="B16" s="4"/>
      <c r="C16" s="4" t="s">
        <v>76</v>
      </c>
      <c r="D16" s="4" t="s">
        <v>78</v>
      </c>
      <c r="E16" s="7" t="s">
        <v>14</v>
      </c>
      <c r="F16" s="50">
        <v>182.96</v>
      </c>
      <c r="H16" s="5"/>
    </row>
    <row r="17" spans="1:12" s="8" customFormat="1" ht="15.75" x14ac:dyDescent="0.25">
      <c r="A17" s="7">
        <v>13</v>
      </c>
      <c r="B17" s="4"/>
      <c r="C17" s="4" t="s">
        <v>71</v>
      </c>
      <c r="D17" s="4" t="s">
        <v>72</v>
      </c>
      <c r="E17" s="7" t="s">
        <v>14</v>
      </c>
      <c r="F17" s="50"/>
      <c r="H17" s="5"/>
    </row>
    <row r="18" spans="1:12" s="8" customFormat="1" ht="15.75" x14ac:dyDescent="0.25">
      <c r="A18" s="7">
        <v>14</v>
      </c>
      <c r="B18" s="4"/>
      <c r="C18" s="4" t="s">
        <v>32</v>
      </c>
      <c r="D18" s="4" t="s">
        <v>33</v>
      </c>
      <c r="E18" s="7" t="s">
        <v>11</v>
      </c>
      <c r="F18" s="50">
        <v>18.46</v>
      </c>
      <c r="H18" s="5"/>
      <c r="L18" s="42"/>
    </row>
    <row r="19" spans="1:12" s="8" customFormat="1" ht="15.75" x14ac:dyDescent="0.25">
      <c r="A19" s="7">
        <v>15</v>
      </c>
      <c r="B19" s="4" t="s">
        <v>116</v>
      </c>
      <c r="C19" s="4" t="s">
        <v>117</v>
      </c>
      <c r="D19" s="4" t="s">
        <v>118</v>
      </c>
      <c r="E19" s="7" t="s">
        <v>11</v>
      </c>
      <c r="F19" s="50">
        <v>80.42</v>
      </c>
      <c r="H19" s="5"/>
    </row>
    <row r="20" spans="1:12" s="8" customFormat="1" ht="15.75" x14ac:dyDescent="0.25">
      <c r="A20" s="7">
        <f>A19+1</f>
        <v>16</v>
      </c>
      <c r="B20" s="4"/>
      <c r="C20" s="4" t="s">
        <v>79</v>
      </c>
      <c r="D20" s="4" t="s">
        <v>80</v>
      </c>
      <c r="E20" s="7" t="s">
        <v>14</v>
      </c>
      <c r="F20" s="50">
        <v>133.22</v>
      </c>
      <c r="H20" s="5"/>
    </row>
    <row r="21" spans="1:12" s="8" customFormat="1" ht="15.75" x14ac:dyDescent="0.25">
      <c r="A21" s="7">
        <v>17</v>
      </c>
      <c r="B21" s="4" t="s">
        <v>149</v>
      </c>
      <c r="C21" s="4" t="s">
        <v>150</v>
      </c>
      <c r="D21" s="4" t="s">
        <v>151</v>
      </c>
      <c r="E21" s="7" t="s">
        <v>14</v>
      </c>
      <c r="F21" s="50">
        <v>0</v>
      </c>
    </row>
    <row r="22" spans="1:12" s="8" customFormat="1" ht="15.75" x14ac:dyDescent="0.25">
      <c r="A22" s="7">
        <v>18</v>
      </c>
      <c r="B22" s="4" t="s">
        <v>26</v>
      </c>
      <c r="C22" s="4" t="s">
        <v>30</v>
      </c>
      <c r="D22" s="4" t="s">
        <v>28</v>
      </c>
      <c r="E22" s="7" t="s">
        <v>14</v>
      </c>
      <c r="F22" s="50">
        <v>20.45</v>
      </c>
      <c r="H22" s="5"/>
      <c r="L22" s="42"/>
    </row>
    <row r="23" spans="1:12" s="8" customFormat="1" ht="15.75" x14ac:dyDescent="0.25">
      <c r="A23" s="7">
        <v>19</v>
      </c>
      <c r="B23" s="4"/>
      <c r="C23" s="4" t="s">
        <v>174</v>
      </c>
      <c r="D23" s="4" t="s">
        <v>173</v>
      </c>
      <c r="E23" s="7" t="s">
        <v>14</v>
      </c>
      <c r="F23" s="50">
        <v>119.84</v>
      </c>
      <c r="H23" s="5"/>
    </row>
    <row r="24" spans="1:12" s="8" customFormat="1" ht="15.75" x14ac:dyDescent="0.25">
      <c r="A24" s="7">
        <v>20</v>
      </c>
      <c r="B24" s="4" t="s">
        <v>180</v>
      </c>
      <c r="C24" s="4" t="s">
        <v>171</v>
      </c>
      <c r="D24" s="4" t="s">
        <v>170</v>
      </c>
      <c r="E24" s="7" t="s">
        <v>11</v>
      </c>
      <c r="F24" s="50">
        <v>30.5</v>
      </c>
      <c r="H24" s="5"/>
    </row>
    <row r="25" spans="1:12" s="8" customFormat="1" ht="15.75" x14ac:dyDescent="0.25">
      <c r="A25" s="7">
        <v>21</v>
      </c>
      <c r="B25" s="4"/>
      <c r="C25" s="4" t="s">
        <v>48</v>
      </c>
      <c r="D25" s="4" t="s">
        <v>49</v>
      </c>
      <c r="E25" s="7" t="s">
        <v>11</v>
      </c>
      <c r="F25" s="50">
        <v>151.88</v>
      </c>
      <c r="H25" s="5"/>
    </row>
    <row r="26" spans="1:12" s="8" customFormat="1" ht="15.75" x14ac:dyDescent="0.25">
      <c r="A26" s="7">
        <v>22</v>
      </c>
      <c r="B26" s="4"/>
      <c r="C26" s="4" t="s">
        <v>51</v>
      </c>
      <c r="D26" s="4" t="s">
        <v>52</v>
      </c>
      <c r="E26" s="7" t="s">
        <v>14</v>
      </c>
      <c r="F26" s="50">
        <v>13.48</v>
      </c>
      <c r="H26" s="5"/>
    </row>
    <row r="27" spans="1:12" s="8" customFormat="1" ht="15.75" x14ac:dyDescent="0.25">
      <c r="A27" s="7">
        <v>23</v>
      </c>
      <c r="B27" s="4"/>
      <c r="C27" s="4" t="s">
        <v>158</v>
      </c>
      <c r="D27" s="4" t="s">
        <v>157</v>
      </c>
      <c r="E27" s="7" t="s">
        <v>14</v>
      </c>
      <c r="F27" s="50">
        <v>8.5</v>
      </c>
      <c r="H27" s="5"/>
    </row>
    <row r="28" spans="1:12" s="8" customFormat="1" ht="18.75" customHeight="1" x14ac:dyDescent="0.25">
      <c r="A28" s="7">
        <v>24</v>
      </c>
      <c r="B28" s="4" t="s">
        <v>85</v>
      </c>
      <c r="C28" s="4" t="s">
        <v>86</v>
      </c>
      <c r="D28" s="4" t="s">
        <v>87</v>
      </c>
      <c r="E28" s="7" t="s">
        <v>14</v>
      </c>
      <c r="F28" s="50">
        <v>6.98</v>
      </c>
      <c r="H28" s="5"/>
    </row>
    <row r="29" spans="1:12" s="8" customFormat="1" ht="17.45" customHeight="1" x14ac:dyDescent="0.25">
      <c r="A29" s="7">
        <v>25</v>
      </c>
      <c r="B29" s="4"/>
      <c r="C29" s="4" t="s">
        <v>69</v>
      </c>
      <c r="D29" s="4" t="s">
        <v>70</v>
      </c>
      <c r="E29" s="7" t="s">
        <v>11</v>
      </c>
      <c r="F29" s="50">
        <v>0</v>
      </c>
      <c r="H29" s="5"/>
    </row>
    <row r="30" spans="1:12" s="8" customFormat="1" ht="18" customHeight="1" x14ac:dyDescent="0.25">
      <c r="A30" s="40">
        <v>26</v>
      </c>
      <c r="B30" s="3"/>
      <c r="C30" s="3" t="s">
        <v>133</v>
      </c>
      <c r="D30" s="3" t="s">
        <v>138</v>
      </c>
      <c r="E30" s="7" t="s">
        <v>14</v>
      </c>
      <c r="F30" s="50">
        <v>108.6</v>
      </c>
    </row>
    <row r="31" spans="1:12" s="8" customFormat="1" ht="15.75" x14ac:dyDescent="0.25">
      <c r="A31" s="40">
        <v>27</v>
      </c>
      <c r="B31" s="3"/>
      <c r="C31" s="3" t="s">
        <v>102</v>
      </c>
      <c r="D31" s="3" t="s">
        <v>179</v>
      </c>
      <c r="E31" s="7" t="s">
        <v>14</v>
      </c>
      <c r="F31" s="50">
        <v>10.5</v>
      </c>
    </row>
    <row r="32" spans="1:12" s="8" customFormat="1" ht="15.75" x14ac:dyDescent="0.25">
      <c r="A32" s="7">
        <v>28</v>
      </c>
      <c r="B32" s="4"/>
      <c r="C32" s="4" t="s">
        <v>190</v>
      </c>
      <c r="D32" s="4" t="s">
        <v>189</v>
      </c>
      <c r="E32" s="7" t="s">
        <v>11</v>
      </c>
      <c r="F32" s="50">
        <v>76.38</v>
      </c>
    </row>
    <row r="33" spans="1:12" s="8" customFormat="1" ht="15.75" x14ac:dyDescent="0.25">
      <c r="A33" s="7">
        <v>29</v>
      </c>
      <c r="B33" s="4"/>
      <c r="C33" s="4" t="s">
        <v>188</v>
      </c>
      <c r="D33" s="4" t="s">
        <v>187</v>
      </c>
      <c r="E33" s="7" t="s">
        <v>11</v>
      </c>
      <c r="F33" s="50">
        <v>37.46</v>
      </c>
      <c r="H33" s="5"/>
    </row>
    <row r="34" spans="1:12" s="8" customFormat="1" ht="15.75" x14ac:dyDescent="0.25">
      <c r="A34" s="7">
        <v>30</v>
      </c>
      <c r="B34" s="4"/>
      <c r="C34" s="4" t="s">
        <v>176</v>
      </c>
      <c r="D34" s="4" t="s">
        <v>175</v>
      </c>
      <c r="E34" s="7" t="s">
        <v>14</v>
      </c>
      <c r="F34" s="50">
        <v>7.58</v>
      </c>
    </row>
    <row r="35" spans="1:12" s="8" customFormat="1" ht="15.75" x14ac:dyDescent="0.25">
      <c r="A35" s="7">
        <v>31</v>
      </c>
      <c r="B35" s="4"/>
      <c r="C35" s="4" t="s">
        <v>177</v>
      </c>
      <c r="D35" s="4" t="s">
        <v>178</v>
      </c>
      <c r="E35" s="7" t="s">
        <v>11</v>
      </c>
      <c r="F35" s="50">
        <v>38.4</v>
      </c>
      <c r="H35" s="5"/>
    </row>
    <row r="36" spans="1:12" s="8" customFormat="1" ht="15.75" x14ac:dyDescent="0.25">
      <c r="A36" s="7">
        <v>32</v>
      </c>
      <c r="B36" s="4" t="s">
        <v>104</v>
      </c>
      <c r="C36" s="4" t="s">
        <v>105</v>
      </c>
      <c r="D36" s="4" t="s">
        <v>106</v>
      </c>
      <c r="E36" s="7" t="s">
        <v>11</v>
      </c>
      <c r="F36" s="50">
        <v>386.48</v>
      </c>
      <c r="H36" s="5"/>
    </row>
    <row r="37" spans="1:12" s="8" customFormat="1" ht="15.75" x14ac:dyDescent="0.25">
      <c r="A37" s="7">
        <v>33</v>
      </c>
      <c r="B37" s="4" t="s">
        <v>107</v>
      </c>
      <c r="C37" s="4" t="s">
        <v>105</v>
      </c>
      <c r="D37" s="4" t="s">
        <v>108</v>
      </c>
      <c r="E37" s="7" t="s">
        <v>11</v>
      </c>
      <c r="F37" s="50">
        <v>66.98</v>
      </c>
      <c r="H37" s="5"/>
    </row>
    <row r="38" spans="1:12" s="8" customFormat="1" ht="15.75" x14ac:dyDescent="0.25">
      <c r="A38" s="7">
        <v>34</v>
      </c>
      <c r="B38" s="4" t="s">
        <v>29</v>
      </c>
      <c r="C38" s="4" t="s">
        <v>30</v>
      </c>
      <c r="D38" s="4" t="s">
        <v>31</v>
      </c>
      <c r="E38" s="7" t="s">
        <v>11</v>
      </c>
      <c r="F38" s="50">
        <v>0</v>
      </c>
      <c r="H38" s="5"/>
    </row>
    <row r="39" spans="1:12" s="8" customFormat="1" ht="15.75" x14ac:dyDescent="0.25">
      <c r="A39" s="7">
        <v>35</v>
      </c>
      <c r="B39" s="4"/>
      <c r="C39" s="4" t="s">
        <v>83</v>
      </c>
      <c r="D39" s="4" t="s">
        <v>198</v>
      </c>
      <c r="E39" s="7" t="s">
        <v>14</v>
      </c>
      <c r="F39" s="50">
        <v>9.9600000000000009</v>
      </c>
      <c r="H39" s="5"/>
      <c r="J39" s="41"/>
    </row>
    <row r="40" spans="1:12" s="8" customFormat="1" ht="15.75" x14ac:dyDescent="0.25">
      <c r="A40" s="52">
        <v>36</v>
      </c>
      <c r="B40" s="4"/>
      <c r="C40" s="4" t="s">
        <v>169</v>
      </c>
      <c r="D40" s="4" t="s">
        <v>166</v>
      </c>
      <c r="E40" s="51" t="s">
        <v>14</v>
      </c>
      <c r="F40" s="50">
        <v>38.619999999999997</v>
      </c>
      <c r="G40" s="5"/>
      <c r="H40" s="5"/>
      <c r="I40" s="5"/>
      <c r="J40" s="5"/>
      <c r="K40" s="5"/>
      <c r="L40" s="5"/>
    </row>
    <row r="41" spans="1:12" s="8" customFormat="1" ht="15.75" x14ac:dyDescent="0.25">
      <c r="A41" s="7">
        <v>37</v>
      </c>
      <c r="B41" s="4"/>
      <c r="C41" s="4" t="s">
        <v>42</v>
      </c>
      <c r="D41" s="4" t="s">
        <v>43</v>
      </c>
      <c r="E41" s="7" t="s">
        <v>11</v>
      </c>
      <c r="F41" s="50">
        <v>0</v>
      </c>
      <c r="H41" s="5"/>
    </row>
    <row r="42" spans="1:12" s="8" customFormat="1" ht="15.75" x14ac:dyDescent="0.25">
      <c r="A42" s="7">
        <v>38</v>
      </c>
      <c r="B42" s="4"/>
      <c r="C42" s="4" t="s">
        <v>113</v>
      </c>
      <c r="D42" s="4" t="s">
        <v>115</v>
      </c>
      <c r="E42" s="7" t="s">
        <v>11</v>
      </c>
      <c r="F42" s="50">
        <v>18.940000000000001</v>
      </c>
      <c r="H42" s="5"/>
    </row>
    <row r="43" spans="1:12" s="8" customFormat="1" ht="15.75" x14ac:dyDescent="0.25">
      <c r="A43" s="7">
        <v>39</v>
      </c>
      <c r="B43" s="4" t="s">
        <v>193</v>
      </c>
      <c r="C43" s="4" t="s">
        <v>194</v>
      </c>
      <c r="D43" s="4" t="s">
        <v>195</v>
      </c>
      <c r="E43" s="7" t="s">
        <v>14</v>
      </c>
      <c r="F43" s="50">
        <v>35.57</v>
      </c>
      <c r="H43" s="5"/>
    </row>
    <row r="44" spans="1:12" s="8" customFormat="1" ht="15.75" x14ac:dyDescent="0.25">
      <c r="A44" s="7">
        <v>40</v>
      </c>
      <c r="B44" s="4"/>
      <c r="C44" s="4" t="s">
        <v>109</v>
      </c>
      <c r="D44" s="4" t="s">
        <v>110</v>
      </c>
      <c r="E44" s="7" t="s">
        <v>14</v>
      </c>
      <c r="F44" s="50">
        <v>8.5</v>
      </c>
    </row>
    <row r="45" spans="1:12" s="8" customFormat="1" ht="15.75" x14ac:dyDescent="0.25">
      <c r="A45" s="7">
        <v>41</v>
      </c>
      <c r="B45" s="4"/>
      <c r="C45" s="4" t="s">
        <v>154</v>
      </c>
      <c r="D45" s="4" t="s">
        <v>155</v>
      </c>
      <c r="E45" s="7" t="s">
        <v>11</v>
      </c>
      <c r="F45" s="50">
        <v>79.47</v>
      </c>
    </row>
    <row r="46" spans="1:12" s="8" customFormat="1" ht="15.75" x14ac:dyDescent="0.25">
      <c r="A46" s="7">
        <v>42</v>
      </c>
      <c r="B46" s="4"/>
      <c r="C46" s="4" t="s">
        <v>46</v>
      </c>
      <c r="D46" s="4" t="s">
        <v>47</v>
      </c>
      <c r="E46" s="7" t="s">
        <v>14</v>
      </c>
      <c r="F46" s="50">
        <v>28.99</v>
      </c>
      <c r="L46" s="42"/>
    </row>
    <row r="47" spans="1:12" s="8" customFormat="1" ht="15.75" x14ac:dyDescent="0.25">
      <c r="A47" s="7">
        <v>43</v>
      </c>
      <c r="B47" s="4"/>
      <c r="C47" s="4" t="s">
        <v>48</v>
      </c>
      <c r="D47" s="4" t="s">
        <v>50</v>
      </c>
      <c r="E47" s="7" t="s">
        <v>11</v>
      </c>
      <c r="F47" s="50">
        <v>65.98</v>
      </c>
      <c r="L47" s="43"/>
    </row>
    <row r="48" spans="1:12" s="8" customFormat="1" ht="15.75" x14ac:dyDescent="0.25">
      <c r="A48" s="7">
        <v>44</v>
      </c>
      <c r="B48" s="4"/>
      <c r="C48" s="4" t="s">
        <v>44</v>
      </c>
      <c r="D48" s="4" t="s">
        <v>45</v>
      </c>
      <c r="E48" s="7" t="s">
        <v>11</v>
      </c>
      <c r="F48" s="50">
        <v>46.62</v>
      </c>
    </row>
    <row r="49" spans="1:12" s="8" customFormat="1" ht="15.75" x14ac:dyDescent="0.25">
      <c r="A49" s="7">
        <v>45</v>
      </c>
      <c r="B49" s="4"/>
      <c r="C49" s="4" t="s">
        <v>65</v>
      </c>
      <c r="D49" s="4" t="s">
        <v>66</v>
      </c>
      <c r="E49" s="7" t="s">
        <v>11</v>
      </c>
      <c r="F49" s="50">
        <v>0</v>
      </c>
      <c r="L49" s="42"/>
    </row>
    <row r="50" spans="1:12" s="8" customFormat="1" ht="15.75" x14ac:dyDescent="0.25">
      <c r="A50" s="7">
        <v>46</v>
      </c>
      <c r="B50" s="4" t="s">
        <v>8</v>
      </c>
      <c r="C50" s="4" t="s">
        <v>9</v>
      </c>
      <c r="D50" s="4" t="s">
        <v>10</v>
      </c>
      <c r="E50" s="7" t="s">
        <v>11</v>
      </c>
      <c r="F50" s="50">
        <v>0</v>
      </c>
      <c r="J50" s="41"/>
    </row>
    <row r="51" spans="1:12" s="8" customFormat="1" ht="15.75" x14ac:dyDescent="0.25">
      <c r="A51" s="7">
        <v>47</v>
      </c>
      <c r="B51" s="4"/>
      <c r="C51" s="4" t="s">
        <v>197</v>
      </c>
      <c r="D51" s="4" t="s">
        <v>196</v>
      </c>
      <c r="E51" s="7" t="s">
        <v>14</v>
      </c>
      <c r="F51" s="50">
        <v>55.94</v>
      </c>
      <c r="H51" s="5"/>
    </row>
    <row r="52" spans="1:12" s="17" customFormat="1" ht="15.75" x14ac:dyDescent="0.25">
      <c r="A52" s="5"/>
      <c r="B52" s="44"/>
      <c r="C52" s="44"/>
      <c r="D52" s="44"/>
      <c r="E52" s="5"/>
      <c r="F52" s="5"/>
      <c r="G52" s="5"/>
      <c r="H52" s="5"/>
      <c r="I52" s="5"/>
      <c r="J52" s="5"/>
      <c r="K52" s="5"/>
      <c r="L52" s="5"/>
    </row>
    <row r="53" spans="1:12" s="8" customFormat="1" ht="15.75" x14ac:dyDescent="0.25">
      <c r="A53"/>
      <c r="B53" s="5"/>
      <c r="C53" s="5"/>
      <c r="D53" s="30" t="s">
        <v>4</v>
      </c>
      <c r="E53" s="31"/>
      <c r="F53" s="31">
        <f>SUM(F5:F52)</f>
        <v>2582.91</v>
      </c>
      <c r="G53" s="45"/>
    </row>
    <row r="54" spans="1:12" s="8" customFormat="1" ht="15.75" x14ac:dyDescent="0.25">
      <c r="A54"/>
      <c r="B54" s="5"/>
      <c r="C54" s="5"/>
      <c r="D54" s="5"/>
      <c r="F54" s="16"/>
    </row>
    <row r="55" spans="1:12" s="8" customFormat="1" ht="15.75" x14ac:dyDescent="0.25">
      <c r="A55"/>
      <c r="B55" s="5"/>
      <c r="C55" s="5"/>
      <c r="D55" s="5"/>
      <c r="F55" s="16"/>
    </row>
    <row r="56" spans="1:12" s="8" customFormat="1" ht="15.75" x14ac:dyDescent="0.25">
      <c r="A56"/>
      <c r="B56" s="5"/>
      <c r="C56" s="5"/>
      <c r="D56" s="5"/>
      <c r="F56" s="15"/>
    </row>
    <row r="57" spans="1:12" s="8" customFormat="1" ht="15.75" x14ac:dyDescent="0.25">
      <c r="A57"/>
      <c r="B57" s="5"/>
      <c r="C57" s="5"/>
      <c r="D57" s="5"/>
      <c r="F57" s="17"/>
    </row>
    <row r="58" spans="1:12" s="8" customFormat="1" ht="15.75" x14ac:dyDescent="0.25">
      <c r="A58"/>
      <c r="B58" s="5"/>
      <c r="C58" s="5"/>
      <c r="D58" s="13"/>
      <c r="E58" s="14"/>
      <c r="F58" s="17"/>
    </row>
    <row r="59" spans="1:12" s="8" customFormat="1" ht="15.75" x14ac:dyDescent="0.25">
      <c r="A59"/>
      <c r="B59" s="5"/>
      <c r="C59" s="5"/>
      <c r="D59" s="13"/>
      <c r="E59" s="14"/>
      <c r="F59" s="16"/>
    </row>
    <row r="60" spans="1:12" s="8" customFormat="1" ht="15.75" x14ac:dyDescent="0.25">
      <c r="A60"/>
      <c r="B60" s="5"/>
      <c r="C60" s="5"/>
      <c r="D60" s="13"/>
      <c r="E60" s="14"/>
      <c r="F60" s="17"/>
    </row>
    <row r="61" spans="1:12" s="8" customFormat="1" ht="15.75" x14ac:dyDescent="0.25">
      <c r="A61"/>
      <c r="B61" s="5"/>
      <c r="C61" s="5"/>
      <c r="D61" s="13"/>
      <c r="E61" s="14"/>
      <c r="F61" s="17"/>
    </row>
    <row r="62" spans="1:12" s="8" customFormat="1" ht="15.75" x14ac:dyDescent="0.25">
      <c r="A62"/>
      <c r="B62" s="5"/>
      <c r="C62" s="5"/>
      <c r="D62" s="13"/>
      <c r="E62" s="14"/>
      <c r="F62" s="17"/>
    </row>
    <row r="63" spans="1:12" s="8" customFormat="1" ht="15.75" x14ac:dyDescent="0.25">
      <c r="A63"/>
      <c r="B63" s="5"/>
      <c r="C63" s="5"/>
      <c r="D63" s="13"/>
      <c r="E63" s="14"/>
      <c r="F63" s="17"/>
    </row>
    <row r="64" spans="1:12" s="8" customFormat="1" ht="15.75" x14ac:dyDescent="0.25">
      <c r="A64"/>
      <c r="B64" s="5"/>
      <c r="C64" s="5"/>
      <c r="D64" s="13"/>
      <c r="E64" s="14"/>
      <c r="F64" s="17"/>
    </row>
    <row r="65" spans="1:6" s="8" customFormat="1" ht="15.75" x14ac:dyDescent="0.25">
      <c r="A65"/>
      <c r="B65" s="5"/>
      <c r="C65" s="5"/>
      <c r="D65" s="13"/>
      <c r="E65" s="14"/>
      <c r="F65" s="17"/>
    </row>
    <row r="66" spans="1:6" s="8" customFormat="1" ht="15.75" x14ac:dyDescent="0.25">
      <c r="A66"/>
      <c r="B66" s="5"/>
      <c r="C66" s="5"/>
      <c r="D66" s="13"/>
      <c r="E66" s="14"/>
      <c r="F66" s="17"/>
    </row>
    <row r="67" spans="1:6" s="8" customFormat="1" ht="15.75" x14ac:dyDescent="0.25">
      <c r="A67"/>
      <c r="B67" s="5"/>
      <c r="C67" s="5"/>
      <c r="D67" s="13"/>
      <c r="E67" s="14"/>
      <c r="F67" s="17"/>
    </row>
    <row r="68" spans="1:6" s="8" customFormat="1" ht="15.75" x14ac:dyDescent="0.25">
      <c r="A68"/>
      <c r="B68" s="5"/>
      <c r="C68" s="5"/>
      <c r="D68" s="13"/>
      <c r="E68" s="14"/>
      <c r="F68" s="17"/>
    </row>
    <row r="69" spans="1:6" s="8" customFormat="1" ht="15.75" x14ac:dyDescent="0.25">
      <c r="A69"/>
      <c r="B69" s="5"/>
      <c r="C69" s="5"/>
      <c r="D69" s="13"/>
      <c r="E69" s="14"/>
      <c r="F69" s="17"/>
    </row>
    <row r="70" spans="1:6" s="8" customFormat="1" ht="15.75" x14ac:dyDescent="0.25">
      <c r="A70"/>
      <c r="B70" s="5"/>
      <c r="C70" s="5"/>
      <c r="D70" s="13"/>
      <c r="E70" s="14"/>
      <c r="F70" s="17"/>
    </row>
    <row r="71" spans="1:6" s="8" customFormat="1" ht="15.75" x14ac:dyDescent="0.25">
      <c r="A71"/>
      <c r="B71" s="5"/>
      <c r="C71" s="5"/>
      <c r="D71" s="13"/>
      <c r="E71" s="14"/>
      <c r="F71" s="17"/>
    </row>
    <row r="72" spans="1:6" s="8" customFormat="1" ht="15.75" x14ac:dyDescent="0.25">
      <c r="A72"/>
      <c r="B72" s="5"/>
      <c r="C72" s="5"/>
      <c r="D72" s="13"/>
      <c r="E72" s="14"/>
      <c r="F72" s="17"/>
    </row>
    <row r="73" spans="1:6" s="8" customFormat="1" ht="15.75" x14ac:dyDescent="0.25">
      <c r="A73"/>
      <c r="B73" s="5"/>
      <c r="C73" s="5"/>
      <c r="D73" s="13"/>
      <c r="E73" s="14"/>
      <c r="F73" s="17"/>
    </row>
    <row r="74" spans="1:6" s="8" customFormat="1" ht="15.75" x14ac:dyDescent="0.25">
      <c r="A74"/>
      <c r="B74" s="5"/>
      <c r="C74" s="5"/>
      <c r="D74" s="13"/>
      <c r="E74" s="14"/>
      <c r="F74" s="17"/>
    </row>
    <row r="75" spans="1:6" s="8" customFormat="1" ht="15.75" x14ac:dyDescent="0.25">
      <c r="A75"/>
      <c r="B75" s="5"/>
      <c r="C75" s="5"/>
      <c r="D75" s="13"/>
      <c r="E75" s="14"/>
      <c r="F75" s="17"/>
    </row>
    <row r="76" spans="1:6" s="8" customFormat="1" ht="15.75" x14ac:dyDescent="0.25">
      <c r="A76"/>
      <c r="B76" s="5"/>
      <c r="C76" s="5"/>
      <c r="D76" s="13"/>
      <c r="E76" s="14"/>
      <c r="F76" s="17"/>
    </row>
    <row r="77" spans="1:6" s="8" customFormat="1" ht="15.75" x14ac:dyDescent="0.25">
      <c r="A77"/>
      <c r="B77" s="5"/>
      <c r="C77" s="5"/>
      <c r="D77" s="13"/>
      <c r="E77" s="14"/>
      <c r="F77" s="11"/>
    </row>
    <row r="78" spans="1:6" s="8" customFormat="1" ht="15.75" x14ac:dyDescent="0.25">
      <c r="A78"/>
      <c r="B78" s="5"/>
      <c r="C78" s="5"/>
      <c r="D78" s="13"/>
      <c r="E78" s="14"/>
      <c r="F78" s="11"/>
    </row>
    <row r="79" spans="1:6" s="8" customFormat="1" ht="15.75" x14ac:dyDescent="0.25">
      <c r="A79"/>
      <c r="B79" s="5"/>
      <c r="C79" s="5"/>
      <c r="D79" s="13"/>
      <c r="E79" s="14"/>
      <c r="F79" s="11"/>
    </row>
    <row r="80" spans="1:6" s="8" customFormat="1" ht="15.75" x14ac:dyDescent="0.25">
      <c r="A80"/>
      <c r="B80" s="5"/>
      <c r="C80" s="5"/>
      <c r="D80" s="13"/>
      <c r="E80" s="14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  <row r="155" spans="1:6" s="8" customFormat="1" ht="15.75" x14ac:dyDescent="0.25">
      <c r="A155"/>
      <c r="B155" s="5"/>
      <c r="C155" s="5"/>
      <c r="D155" s="5"/>
      <c r="F155" s="11"/>
    </row>
    <row r="156" spans="1:6" s="8" customFormat="1" ht="15.75" x14ac:dyDescent="0.25">
      <c r="A156"/>
      <c r="B156" s="5"/>
      <c r="C156" s="5"/>
      <c r="D156" s="5"/>
      <c r="F156" s="11"/>
    </row>
    <row r="157" spans="1:6" s="8" customFormat="1" ht="15.75" x14ac:dyDescent="0.25">
      <c r="A157"/>
      <c r="B157" s="5"/>
      <c r="C157" s="5"/>
      <c r="D157" s="5"/>
      <c r="F157" s="11"/>
    </row>
    <row r="158" spans="1:6" s="8" customFormat="1" ht="15.75" x14ac:dyDescent="0.25">
      <c r="A158"/>
      <c r="B158" s="5"/>
      <c r="C158" s="5"/>
      <c r="D158" s="5"/>
      <c r="F158" s="11"/>
    </row>
    <row r="159" spans="1:6" s="8" customFormat="1" ht="15.75" x14ac:dyDescent="0.25">
      <c r="A159"/>
      <c r="B159" s="5"/>
      <c r="C159" s="5"/>
      <c r="D159" s="5"/>
      <c r="F159" s="11"/>
    </row>
    <row r="160" spans="1:6" s="8" customFormat="1" ht="15.75" x14ac:dyDescent="0.25">
      <c r="A160"/>
      <c r="B160" s="5"/>
      <c r="C160" s="5"/>
      <c r="D160" s="5"/>
      <c r="F160" s="11"/>
    </row>
    <row r="161" spans="1:6" s="8" customFormat="1" ht="15.75" x14ac:dyDescent="0.25">
      <c r="A161"/>
      <c r="B161" s="5"/>
      <c r="C161" s="5"/>
      <c r="D161" s="5"/>
      <c r="F161" s="11"/>
    </row>
    <row r="162" spans="1:6" s="8" customFormat="1" ht="15.75" x14ac:dyDescent="0.25">
      <c r="A162"/>
      <c r="B162" s="5"/>
      <c r="C162" s="5"/>
      <c r="D162" s="5"/>
      <c r="F162" s="11"/>
    </row>
    <row r="163" spans="1:6" s="8" customFormat="1" ht="15.75" x14ac:dyDescent="0.25">
      <c r="A163"/>
      <c r="B163" s="5"/>
      <c r="C163" s="5"/>
      <c r="D163" s="5"/>
      <c r="F163" s="11"/>
    </row>
    <row r="164" spans="1:6" s="8" customFormat="1" ht="15.75" x14ac:dyDescent="0.25">
      <c r="A164"/>
      <c r="B164" s="5"/>
      <c r="C164" s="5"/>
      <c r="D164" s="5"/>
      <c r="F164" s="11"/>
    </row>
    <row r="165" spans="1:6" s="8" customFormat="1" ht="15.75" x14ac:dyDescent="0.25">
      <c r="A165"/>
      <c r="B165" s="5"/>
      <c r="C165" s="5"/>
      <c r="D165" s="5"/>
      <c r="F165" s="11"/>
    </row>
    <row r="166" spans="1:6" s="8" customFormat="1" ht="15.75" x14ac:dyDescent="0.25">
      <c r="A166"/>
      <c r="B166" s="5"/>
      <c r="C166" s="5"/>
      <c r="D166" s="5"/>
      <c r="F166" s="11"/>
    </row>
    <row r="167" spans="1:6" s="8" customFormat="1" ht="15.75" x14ac:dyDescent="0.25">
      <c r="A167"/>
      <c r="B167" s="5"/>
      <c r="C167" s="5"/>
      <c r="D167" s="5"/>
      <c r="F167" s="11"/>
    </row>
    <row r="168" spans="1:6" s="8" customFormat="1" ht="15.75" x14ac:dyDescent="0.25">
      <c r="A168"/>
      <c r="B168" s="5"/>
      <c r="C168" s="5"/>
      <c r="D168" s="5"/>
      <c r="F168" s="11"/>
    </row>
    <row r="169" spans="1:6" s="8" customFormat="1" ht="15.75" x14ac:dyDescent="0.25">
      <c r="A169"/>
      <c r="B169" s="5"/>
      <c r="C169" s="5"/>
      <c r="D169" s="5"/>
      <c r="F169" s="11"/>
    </row>
    <row r="170" spans="1:6" s="8" customFormat="1" ht="15.75" x14ac:dyDescent="0.25">
      <c r="A170"/>
      <c r="B170" s="5"/>
      <c r="C170" s="5"/>
      <c r="D170" s="5"/>
      <c r="F170" s="11"/>
    </row>
    <row r="171" spans="1:6" s="8" customFormat="1" ht="15.75" x14ac:dyDescent="0.25">
      <c r="A171"/>
      <c r="B171" s="5"/>
      <c r="C171" s="5"/>
      <c r="D171" s="5"/>
      <c r="F171" s="11"/>
    </row>
    <row r="172" spans="1:6" s="8" customFormat="1" ht="15.75" x14ac:dyDescent="0.25">
      <c r="A172"/>
      <c r="B172" s="5"/>
      <c r="C172" s="5"/>
      <c r="D172" s="5"/>
      <c r="F172" s="11"/>
    </row>
    <row r="173" spans="1:6" ht="15.75" x14ac:dyDescent="0.25">
      <c r="D173" s="5"/>
      <c r="E173" s="8"/>
      <c r="F173" s="11"/>
    </row>
  </sheetData>
  <sortState xmlns:xlrd2="http://schemas.microsoft.com/office/spreadsheetml/2017/richdata2" ref="A5:L51">
    <sortCondition ref="D5:D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249-8DC5-401F-8B62-0C9408D64D00}">
  <sheetPr>
    <pageSetUpPr fitToPage="1"/>
  </sheetPr>
  <dimension ref="A1:O129"/>
  <sheetViews>
    <sheetView zoomScaleNormal="100" zoomScaleSheetLayoutView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23" sqref="F23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17.28515625" bestFit="1" customWidth="1"/>
    <col min="7" max="7" width="17" bestFit="1" customWidth="1"/>
    <col min="8" max="8" width="17.140625" customWidth="1"/>
    <col min="9" max="9" width="20.5703125" style="48" bestFit="1" customWidth="1"/>
    <col min="10" max="10" width="59" customWidth="1"/>
    <col min="11" max="11" width="12.7109375" customWidth="1"/>
    <col min="12" max="13" width="8.7109375"/>
  </cols>
  <sheetData>
    <row r="1" spans="1:15" x14ac:dyDescent="0.25">
      <c r="A1" s="1" t="s">
        <v>140</v>
      </c>
    </row>
    <row r="2" spans="1:15" x14ac:dyDescent="0.25">
      <c r="A2" s="2" t="s">
        <v>122</v>
      </c>
      <c r="B2" s="2"/>
      <c r="C2" s="23">
        <f>'TIPS - BOH'!C2</f>
        <v>46046</v>
      </c>
      <c r="G2" t="s">
        <v>144</v>
      </c>
    </row>
    <row r="3" spans="1:15" x14ac:dyDescent="0.25">
      <c r="A3" s="2" t="s">
        <v>123</v>
      </c>
      <c r="B3" s="2"/>
      <c r="C3" s="23">
        <f>'TIPS - BOH'!C3</f>
        <v>46051</v>
      </c>
    </row>
    <row r="4" spans="1:15" s="5" customFormat="1" ht="94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49" t="s">
        <v>201</v>
      </c>
      <c r="G4" s="18" t="s">
        <v>141</v>
      </c>
      <c r="H4" s="49" t="s">
        <v>142</v>
      </c>
      <c r="I4" s="24" t="s">
        <v>143</v>
      </c>
    </row>
    <row r="5" spans="1:15" s="5" customFormat="1" ht="16.5" thickBot="1" x14ac:dyDescent="0.3">
      <c r="A5" s="67"/>
      <c r="B5" s="65"/>
      <c r="C5" s="65"/>
      <c r="D5" s="65"/>
      <c r="E5" s="67"/>
      <c r="F5" s="67"/>
      <c r="G5" s="68"/>
      <c r="H5" s="67"/>
      <c r="I5" s="69"/>
    </row>
    <row r="6" spans="1:15" s="8" customFormat="1" ht="15.75" x14ac:dyDescent="0.25">
      <c r="A6" s="70">
        <v>1</v>
      </c>
      <c r="B6" s="71"/>
      <c r="C6" s="71" t="s">
        <v>113</v>
      </c>
      <c r="D6" s="71" t="s">
        <v>200</v>
      </c>
      <c r="E6" s="72" t="s">
        <v>11</v>
      </c>
      <c r="F6" s="73">
        <v>300</v>
      </c>
      <c r="G6" s="73"/>
      <c r="H6" s="73">
        <v>100</v>
      </c>
      <c r="I6" s="74"/>
      <c r="K6" s="5"/>
    </row>
    <row r="7" spans="1:15" s="8" customFormat="1" ht="15.75" x14ac:dyDescent="0.25">
      <c r="A7" s="75">
        <v>2</v>
      </c>
      <c r="B7" s="44"/>
      <c r="C7" s="44" t="s">
        <v>42</v>
      </c>
      <c r="D7" s="44" t="s">
        <v>202</v>
      </c>
      <c r="E7" s="8" t="s">
        <v>11</v>
      </c>
      <c r="F7" s="66">
        <v>730</v>
      </c>
      <c r="G7" s="66"/>
      <c r="H7" s="66">
        <v>100</v>
      </c>
      <c r="I7" s="76"/>
      <c r="K7" s="5"/>
    </row>
    <row r="8" spans="1:15" s="15" customFormat="1" ht="16.5" thickBot="1" x14ac:dyDescent="0.3">
      <c r="A8" s="81">
        <v>3</v>
      </c>
      <c r="B8" s="77"/>
      <c r="C8" s="77"/>
      <c r="D8" s="77"/>
      <c r="E8" s="78"/>
      <c r="F8" s="78"/>
      <c r="G8" s="79"/>
      <c r="H8" s="79"/>
      <c r="I8" s="80"/>
      <c r="J8" s="5"/>
      <c r="K8" s="5"/>
      <c r="L8" s="5"/>
      <c r="M8" s="5"/>
      <c r="N8" s="5"/>
      <c r="O8" s="5"/>
    </row>
    <row r="9" spans="1:15" s="8" customFormat="1" ht="15.75" x14ac:dyDescent="0.25">
      <c r="A9"/>
      <c r="B9" s="5"/>
      <c r="C9" s="5"/>
      <c r="D9" s="30" t="s">
        <v>4</v>
      </c>
      <c r="E9" s="31"/>
      <c r="F9" s="32">
        <f>SUM(F6:F8)</f>
        <v>1030</v>
      </c>
      <c r="G9" s="32">
        <f>SUM(G6:G8)</f>
        <v>0</v>
      </c>
      <c r="H9" s="32">
        <f>SUM(H6:H8)</f>
        <v>200</v>
      </c>
      <c r="I9" s="32">
        <f>SUM(I6:I8)</f>
        <v>0</v>
      </c>
      <c r="J9" s="45"/>
    </row>
    <row r="10" spans="1:15" s="8" customFormat="1" ht="15.75" x14ac:dyDescent="0.25">
      <c r="A10"/>
      <c r="B10" s="5"/>
      <c r="C10" s="5"/>
      <c r="D10" s="5"/>
      <c r="I10" s="27"/>
    </row>
    <row r="11" spans="1:15" s="8" customFormat="1" ht="15.75" x14ac:dyDescent="0.25">
      <c r="A11"/>
      <c r="B11" s="5"/>
      <c r="C11" s="5"/>
      <c r="D11" s="5"/>
      <c r="I11" s="27"/>
    </row>
    <row r="12" spans="1:15" s="8" customFormat="1" ht="15.75" x14ac:dyDescent="0.25">
      <c r="A12"/>
      <c r="B12" s="5"/>
      <c r="C12" s="5"/>
      <c r="D12" s="5"/>
      <c r="I12" s="15"/>
    </row>
    <row r="13" spans="1:15" s="8" customFormat="1" ht="15.75" x14ac:dyDescent="0.25">
      <c r="A13"/>
      <c r="B13" s="5"/>
      <c r="C13" s="5"/>
      <c r="D13" s="5"/>
      <c r="I13" s="15"/>
    </row>
    <row r="14" spans="1:15" s="8" customFormat="1" ht="15.75" x14ac:dyDescent="0.25">
      <c r="A14"/>
      <c r="B14" s="5"/>
      <c r="C14" s="5"/>
      <c r="D14" s="13"/>
      <c r="E14" s="14"/>
      <c r="F14" s="14"/>
      <c r="G14" s="14"/>
      <c r="H14" s="14"/>
      <c r="I14" s="15"/>
    </row>
    <row r="15" spans="1:15" s="8" customFormat="1" ht="15.75" x14ac:dyDescent="0.25">
      <c r="A15"/>
      <c r="B15" s="5"/>
      <c r="C15" s="5"/>
      <c r="D15" s="13"/>
      <c r="E15" s="14"/>
      <c r="F15" s="14"/>
      <c r="G15" s="14"/>
      <c r="H15" s="14"/>
      <c r="I15" s="27"/>
    </row>
    <row r="16" spans="1:15" s="8" customFormat="1" ht="15.75" x14ac:dyDescent="0.25">
      <c r="A16"/>
      <c r="B16" s="5"/>
      <c r="C16" s="5"/>
      <c r="D16" s="13"/>
      <c r="E16" s="14"/>
      <c r="F16" s="14"/>
      <c r="G16" s="14"/>
      <c r="H16" s="14"/>
      <c r="I16" s="15"/>
    </row>
    <row r="17" spans="1:9" s="8" customFormat="1" ht="15.75" x14ac:dyDescent="0.25">
      <c r="A17"/>
      <c r="B17" s="5"/>
      <c r="C17" s="5"/>
      <c r="D17" s="13"/>
      <c r="E17" s="14"/>
      <c r="F17" s="14"/>
      <c r="G17" s="14"/>
      <c r="H17" s="14"/>
      <c r="I17" s="15"/>
    </row>
    <row r="18" spans="1:9" s="8" customFormat="1" ht="15.75" x14ac:dyDescent="0.25">
      <c r="A18"/>
      <c r="B18" s="5"/>
      <c r="C18" s="5"/>
      <c r="D18" s="13"/>
      <c r="E18" s="14"/>
      <c r="F18" s="14"/>
      <c r="G18" s="14"/>
      <c r="H18" s="14"/>
      <c r="I18" s="15"/>
    </row>
    <row r="19" spans="1:9" s="8" customFormat="1" ht="15.75" x14ac:dyDescent="0.25">
      <c r="A19"/>
      <c r="B19" s="5"/>
      <c r="C19" s="5"/>
      <c r="D19" s="13"/>
      <c r="E19" s="14"/>
      <c r="F19" s="14"/>
      <c r="G19" s="14"/>
      <c r="H19" s="14"/>
      <c r="I19" s="15"/>
    </row>
    <row r="20" spans="1:9" s="8" customFormat="1" ht="15.75" x14ac:dyDescent="0.25">
      <c r="A20"/>
      <c r="B20" s="5"/>
      <c r="C20" s="5"/>
      <c r="D20" s="13"/>
      <c r="E20" s="14"/>
      <c r="F20" s="14"/>
      <c r="G20" s="14"/>
      <c r="H20" s="14"/>
      <c r="I20" s="15"/>
    </row>
    <row r="21" spans="1:9" s="8" customFormat="1" ht="15.75" x14ac:dyDescent="0.25">
      <c r="A21"/>
      <c r="B21" s="5"/>
      <c r="C21" s="5"/>
      <c r="D21" s="13"/>
      <c r="E21" s="14"/>
      <c r="F21" s="14"/>
      <c r="G21" s="14"/>
      <c r="H21" s="14"/>
      <c r="I21" s="15"/>
    </row>
    <row r="22" spans="1:9" s="8" customFormat="1" ht="15.75" x14ac:dyDescent="0.25">
      <c r="A22"/>
      <c r="B22" s="5"/>
      <c r="C22" s="5"/>
      <c r="D22" s="13"/>
      <c r="E22" s="14"/>
      <c r="F22" s="14"/>
      <c r="G22" s="14"/>
      <c r="H22" s="14"/>
      <c r="I22" s="15"/>
    </row>
    <row r="23" spans="1:9" s="8" customFormat="1" ht="15.75" x14ac:dyDescent="0.25">
      <c r="A23"/>
      <c r="B23" s="5"/>
      <c r="C23" s="5"/>
      <c r="D23" s="13"/>
      <c r="E23" s="14"/>
      <c r="F23" s="14"/>
      <c r="G23" s="14"/>
      <c r="H23" s="14"/>
      <c r="I23" s="15"/>
    </row>
    <row r="24" spans="1:9" s="8" customFormat="1" ht="15.75" x14ac:dyDescent="0.25">
      <c r="A24"/>
      <c r="B24" s="5"/>
      <c r="C24" s="5"/>
      <c r="D24" s="13"/>
      <c r="E24" s="14"/>
      <c r="F24" s="14"/>
      <c r="G24" s="14"/>
      <c r="H24" s="14"/>
      <c r="I24" s="15"/>
    </row>
    <row r="25" spans="1:9" s="8" customFormat="1" ht="15.75" x14ac:dyDescent="0.25">
      <c r="A25"/>
      <c r="B25" s="5"/>
      <c r="C25" s="5"/>
      <c r="D25" s="13"/>
      <c r="E25" s="14"/>
      <c r="F25" s="14"/>
      <c r="G25" s="14"/>
      <c r="H25" s="14"/>
      <c r="I25" s="15"/>
    </row>
    <row r="26" spans="1:9" s="8" customFormat="1" ht="15.75" x14ac:dyDescent="0.25">
      <c r="A26"/>
      <c r="B26" s="5"/>
      <c r="C26" s="5"/>
      <c r="D26" s="13"/>
      <c r="E26" s="14"/>
      <c r="F26" s="14"/>
      <c r="G26" s="14"/>
      <c r="H26" s="14"/>
      <c r="I26" s="15"/>
    </row>
    <row r="27" spans="1:9" s="8" customFormat="1" ht="15.75" x14ac:dyDescent="0.25">
      <c r="A27"/>
      <c r="B27" s="5"/>
      <c r="C27" s="5"/>
      <c r="D27" s="13"/>
      <c r="E27" s="14"/>
      <c r="F27" s="14"/>
      <c r="G27" s="14"/>
      <c r="H27" s="14"/>
      <c r="I27" s="15"/>
    </row>
    <row r="28" spans="1:9" s="8" customFormat="1" ht="15.75" x14ac:dyDescent="0.25">
      <c r="A28"/>
      <c r="B28" s="5"/>
      <c r="C28" s="5"/>
      <c r="D28" s="13"/>
      <c r="E28" s="14"/>
      <c r="F28" s="14"/>
      <c r="G28" s="14"/>
      <c r="H28" s="14"/>
      <c r="I28" s="15"/>
    </row>
    <row r="29" spans="1:9" s="8" customFormat="1" ht="15.75" x14ac:dyDescent="0.25">
      <c r="A29"/>
      <c r="B29" s="5"/>
      <c r="C29" s="5"/>
      <c r="D29" s="13"/>
      <c r="E29" s="14"/>
      <c r="F29" s="14"/>
      <c r="G29" s="14"/>
      <c r="H29" s="14"/>
      <c r="I29" s="15"/>
    </row>
    <row r="30" spans="1:9" s="8" customFormat="1" ht="15.75" x14ac:dyDescent="0.25">
      <c r="A30"/>
      <c r="B30" s="5"/>
      <c r="C30" s="5"/>
      <c r="D30" s="13"/>
      <c r="E30" s="14"/>
      <c r="F30" s="14"/>
      <c r="G30" s="14"/>
      <c r="H30" s="14"/>
      <c r="I30" s="15"/>
    </row>
    <row r="31" spans="1:9" s="8" customFormat="1" ht="15.75" x14ac:dyDescent="0.25">
      <c r="A31"/>
      <c r="B31" s="5"/>
      <c r="C31" s="5"/>
      <c r="D31" s="13"/>
      <c r="E31" s="14"/>
      <c r="F31" s="14"/>
      <c r="G31" s="14"/>
      <c r="H31" s="14"/>
      <c r="I31" s="15"/>
    </row>
    <row r="32" spans="1:9" s="8" customFormat="1" ht="15.75" x14ac:dyDescent="0.25">
      <c r="A32"/>
      <c r="B32" s="5"/>
      <c r="C32" s="5"/>
      <c r="D32" s="13"/>
      <c r="E32" s="14"/>
      <c r="F32" s="14"/>
      <c r="G32" s="14"/>
      <c r="H32" s="14"/>
      <c r="I32" s="15"/>
    </row>
    <row r="33" spans="1:9" s="8" customFormat="1" ht="15.75" x14ac:dyDescent="0.25">
      <c r="A33"/>
      <c r="B33" s="5"/>
      <c r="C33" s="5"/>
      <c r="D33" s="13"/>
      <c r="E33" s="14"/>
      <c r="F33" s="14"/>
      <c r="G33" s="14"/>
      <c r="H33" s="14"/>
      <c r="I33" s="26"/>
    </row>
    <row r="34" spans="1:9" s="8" customFormat="1" ht="15.75" x14ac:dyDescent="0.25">
      <c r="A34"/>
      <c r="B34" s="5"/>
      <c r="C34" s="5"/>
      <c r="D34" s="13"/>
      <c r="E34" s="14"/>
      <c r="F34" s="14"/>
      <c r="G34" s="14"/>
      <c r="H34" s="14"/>
      <c r="I34" s="26"/>
    </row>
    <row r="35" spans="1:9" s="8" customFormat="1" ht="15.75" x14ac:dyDescent="0.25">
      <c r="A35"/>
      <c r="B35" s="5"/>
      <c r="C35" s="5"/>
      <c r="D35" s="13"/>
      <c r="E35" s="14"/>
      <c r="F35" s="14"/>
      <c r="G35" s="14"/>
      <c r="H35" s="14"/>
      <c r="I35" s="26"/>
    </row>
    <row r="36" spans="1:9" s="8" customFormat="1" ht="15.75" x14ac:dyDescent="0.25">
      <c r="A36"/>
      <c r="B36" s="5"/>
      <c r="C36" s="5"/>
      <c r="D36" s="13"/>
      <c r="E36" s="14"/>
      <c r="F36" s="14"/>
      <c r="G36" s="14"/>
      <c r="H36" s="14"/>
      <c r="I36" s="26"/>
    </row>
    <row r="37" spans="1:9" s="8" customFormat="1" ht="15.75" x14ac:dyDescent="0.25">
      <c r="A37"/>
      <c r="B37" s="5"/>
      <c r="C37" s="5"/>
      <c r="D37" s="5"/>
      <c r="I37" s="26"/>
    </row>
    <row r="38" spans="1:9" s="8" customFormat="1" ht="15.75" x14ac:dyDescent="0.25">
      <c r="A38"/>
      <c r="B38" s="5"/>
      <c r="C38" s="5"/>
      <c r="D38" s="5"/>
      <c r="I38" s="26"/>
    </row>
    <row r="39" spans="1:9" s="8" customFormat="1" ht="15.75" x14ac:dyDescent="0.25">
      <c r="A39"/>
      <c r="B39" s="5"/>
      <c r="C39" s="5"/>
      <c r="D39" s="5"/>
      <c r="I39" s="26"/>
    </row>
    <row r="40" spans="1:9" s="8" customFormat="1" ht="15.75" x14ac:dyDescent="0.25">
      <c r="A40"/>
      <c r="B40" s="5"/>
      <c r="C40" s="5"/>
      <c r="D40" s="5"/>
      <c r="I40" s="26"/>
    </row>
    <row r="41" spans="1:9" s="8" customFormat="1" ht="15.75" x14ac:dyDescent="0.25">
      <c r="A41"/>
      <c r="B41" s="5"/>
      <c r="C41" s="5"/>
      <c r="D41" s="5"/>
      <c r="I41" s="26"/>
    </row>
    <row r="42" spans="1:9" s="8" customFormat="1" ht="15.75" x14ac:dyDescent="0.25">
      <c r="A42"/>
      <c r="B42" s="5"/>
      <c r="C42" s="5"/>
      <c r="D42" s="5"/>
      <c r="I42" s="26"/>
    </row>
    <row r="43" spans="1:9" s="8" customFormat="1" ht="15.75" x14ac:dyDescent="0.25">
      <c r="A43"/>
      <c r="B43" s="5"/>
      <c r="C43" s="5"/>
      <c r="D43" s="5"/>
      <c r="I43" s="26"/>
    </row>
    <row r="44" spans="1:9" s="8" customFormat="1" ht="15.75" x14ac:dyDescent="0.25">
      <c r="A44"/>
      <c r="B44" s="5"/>
      <c r="C44" s="5"/>
      <c r="D44" s="5"/>
      <c r="I44" s="26"/>
    </row>
    <row r="45" spans="1:9" s="8" customFormat="1" ht="15.75" x14ac:dyDescent="0.25">
      <c r="A45"/>
      <c r="B45" s="5"/>
      <c r="C45" s="5"/>
      <c r="D45" s="5"/>
      <c r="I45" s="26"/>
    </row>
    <row r="46" spans="1:9" s="8" customFormat="1" ht="15.75" x14ac:dyDescent="0.25">
      <c r="A46"/>
      <c r="B46" s="5"/>
      <c r="C46" s="5"/>
      <c r="D46" s="5"/>
      <c r="I46" s="26"/>
    </row>
    <row r="47" spans="1:9" s="8" customFormat="1" ht="15.75" x14ac:dyDescent="0.25">
      <c r="A47"/>
      <c r="B47" s="5"/>
      <c r="C47" s="5"/>
      <c r="D47" s="5"/>
      <c r="I47" s="26"/>
    </row>
    <row r="48" spans="1:9" s="8" customFormat="1" ht="15.75" x14ac:dyDescent="0.25">
      <c r="A48"/>
      <c r="B48" s="5"/>
      <c r="C48" s="5"/>
      <c r="D48" s="5"/>
      <c r="I48" s="26"/>
    </row>
    <row r="49" spans="1:9" s="8" customFormat="1" ht="15.75" x14ac:dyDescent="0.25">
      <c r="A49"/>
      <c r="B49" s="5"/>
      <c r="C49" s="5"/>
      <c r="D49" s="5"/>
      <c r="I49" s="26"/>
    </row>
    <row r="50" spans="1:9" s="8" customFormat="1" ht="15.75" x14ac:dyDescent="0.25">
      <c r="A50"/>
      <c r="B50" s="5"/>
      <c r="C50" s="5"/>
      <c r="D50" s="5"/>
      <c r="I50" s="26"/>
    </row>
    <row r="51" spans="1:9" s="8" customFormat="1" ht="15.75" x14ac:dyDescent="0.25">
      <c r="A51"/>
      <c r="B51" s="5"/>
      <c r="C51" s="5"/>
      <c r="D51" s="5"/>
      <c r="I51" s="26"/>
    </row>
    <row r="52" spans="1:9" s="8" customFormat="1" ht="15.75" x14ac:dyDescent="0.25">
      <c r="A52"/>
      <c r="B52" s="5"/>
      <c r="C52" s="5"/>
      <c r="D52" s="5"/>
      <c r="I52" s="26"/>
    </row>
    <row r="53" spans="1:9" s="8" customFormat="1" ht="15.75" x14ac:dyDescent="0.25">
      <c r="A53"/>
      <c r="B53" s="5"/>
      <c r="C53" s="5"/>
      <c r="D53" s="5"/>
      <c r="I53" s="26"/>
    </row>
    <row r="54" spans="1:9" s="8" customFormat="1" ht="15.75" x14ac:dyDescent="0.25">
      <c r="A54"/>
      <c r="B54" s="5"/>
      <c r="C54" s="5"/>
      <c r="D54" s="5"/>
      <c r="I54" s="26"/>
    </row>
    <row r="55" spans="1:9" s="8" customFormat="1" ht="15.75" x14ac:dyDescent="0.25">
      <c r="A55"/>
      <c r="B55" s="5"/>
      <c r="C55" s="5"/>
      <c r="D55" s="5"/>
      <c r="I55" s="26"/>
    </row>
    <row r="56" spans="1:9" s="8" customFormat="1" ht="15.75" x14ac:dyDescent="0.25">
      <c r="A56"/>
      <c r="B56" s="5"/>
      <c r="C56" s="5"/>
      <c r="D56" s="5"/>
      <c r="I56" s="26"/>
    </row>
    <row r="57" spans="1:9" s="8" customFormat="1" ht="15.75" x14ac:dyDescent="0.25">
      <c r="A57"/>
      <c r="B57" s="5"/>
      <c r="C57" s="5"/>
      <c r="D57" s="5"/>
      <c r="I57" s="26"/>
    </row>
    <row r="58" spans="1:9" s="8" customFormat="1" ht="15.75" x14ac:dyDescent="0.25">
      <c r="A58"/>
      <c r="B58" s="5"/>
      <c r="C58" s="5"/>
      <c r="D58" s="5"/>
      <c r="I58" s="26"/>
    </row>
    <row r="59" spans="1:9" s="8" customFormat="1" ht="15.75" x14ac:dyDescent="0.25">
      <c r="A59"/>
      <c r="B59" s="5"/>
      <c r="C59" s="5"/>
      <c r="D59" s="5"/>
      <c r="I59" s="26"/>
    </row>
    <row r="60" spans="1:9" s="8" customFormat="1" ht="15.75" x14ac:dyDescent="0.25">
      <c r="A60"/>
      <c r="B60" s="5"/>
      <c r="C60" s="5"/>
      <c r="D60" s="5"/>
      <c r="I60" s="26"/>
    </row>
    <row r="61" spans="1:9" s="8" customFormat="1" ht="15.75" x14ac:dyDescent="0.25">
      <c r="A61"/>
      <c r="B61" s="5"/>
      <c r="C61" s="5"/>
      <c r="D61" s="5"/>
      <c r="I61" s="26"/>
    </row>
    <row r="62" spans="1:9" s="8" customFormat="1" ht="15.75" x14ac:dyDescent="0.25">
      <c r="A62"/>
      <c r="B62" s="5"/>
      <c r="C62" s="5"/>
      <c r="D62" s="5"/>
      <c r="I62" s="26"/>
    </row>
    <row r="63" spans="1:9" s="8" customFormat="1" ht="15.75" x14ac:dyDescent="0.25">
      <c r="A63"/>
      <c r="B63" s="5"/>
      <c r="C63" s="5"/>
      <c r="D63" s="5"/>
      <c r="I63" s="26"/>
    </row>
    <row r="64" spans="1:9" s="8" customFormat="1" ht="15.75" x14ac:dyDescent="0.25">
      <c r="A64"/>
      <c r="B64" s="5"/>
      <c r="C64" s="5"/>
      <c r="D64" s="5"/>
      <c r="I64" s="26"/>
    </row>
    <row r="65" spans="1:9" s="8" customFormat="1" ht="15.75" x14ac:dyDescent="0.25">
      <c r="A65"/>
      <c r="B65" s="5"/>
      <c r="C65" s="5"/>
      <c r="D65" s="5"/>
      <c r="I65" s="26"/>
    </row>
    <row r="66" spans="1:9" s="8" customFormat="1" ht="15.75" x14ac:dyDescent="0.25">
      <c r="A66"/>
      <c r="B66" s="5"/>
      <c r="C66" s="5"/>
      <c r="D66" s="5"/>
      <c r="I66" s="26"/>
    </row>
    <row r="67" spans="1:9" s="8" customFormat="1" ht="15.75" x14ac:dyDescent="0.25">
      <c r="A67"/>
      <c r="B67" s="5"/>
      <c r="C67" s="5"/>
      <c r="D67" s="5"/>
      <c r="I67" s="26"/>
    </row>
    <row r="68" spans="1:9" s="8" customFormat="1" ht="15.75" x14ac:dyDescent="0.25">
      <c r="A68"/>
      <c r="B68" s="5"/>
      <c r="C68" s="5"/>
      <c r="D68" s="5"/>
      <c r="I68" s="26"/>
    </row>
    <row r="69" spans="1:9" s="8" customFormat="1" ht="15.75" x14ac:dyDescent="0.25">
      <c r="A69"/>
      <c r="B69" s="5"/>
      <c r="C69" s="5"/>
      <c r="D69" s="5"/>
      <c r="I69" s="26"/>
    </row>
    <row r="70" spans="1:9" s="8" customFormat="1" ht="15.75" x14ac:dyDescent="0.25">
      <c r="A70"/>
      <c r="B70" s="5"/>
      <c r="C70" s="5"/>
      <c r="D70" s="5"/>
      <c r="I70" s="26"/>
    </row>
    <row r="71" spans="1:9" s="8" customFormat="1" ht="15.75" x14ac:dyDescent="0.25">
      <c r="A71"/>
      <c r="B71" s="5"/>
      <c r="C71" s="5"/>
      <c r="D71" s="5"/>
      <c r="I71" s="26"/>
    </row>
    <row r="72" spans="1:9" s="8" customFormat="1" ht="15.75" x14ac:dyDescent="0.25">
      <c r="A72"/>
      <c r="B72" s="5"/>
      <c r="C72" s="5"/>
      <c r="D72" s="5"/>
      <c r="I72" s="26"/>
    </row>
    <row r="73" spans="1:9" s="8" customFormat="1" ht="15.75" x14ac:dyDescent="0.25">
      <c r="A73"/>
      <c r="B73" s="5"/>
      <c r="C73" s="5"/>
      <c r="D73" s="5"/>
      <c r="I73" s="26"/>
    </row>
    <row r="74" spans="1:9" s="8" customFormat="1" ht="15.75" x14ac:dyDescent="0.25">
      <c r="A74"/>
      <c r="B74" s="5"/>
      <c r="C74" s="5"/>
      <c r="D74" s="5"/>
      <c r="I74" s="26"/>
    </row>
    <row r="75" spans="1:9" s="8" customFormat="1" ht="15.75" x14ac:dyDescent="0.25">
      <c r="A75"/>
      <c r="B75" s="5"/>
      <c r="C75" s="5"/>
      <c r="D75" s="5"/>
      <c r="I75" s="26"/>
    </row>
    <row r="76" spans="1:9" s="8" customFormat="1" ht="15.75" x14ac:dyDescent="0.25">
      <c r="A76"/>
      <c r="B76" s="5"/>
      <c r="C76" s="5"/>
      <c r="D76" s="5"/>
      <c r="I76" s="26"/>
    </row>
    <row r="77" spans="1:9" s="8" customFormat="1" ht="15.75" x14ac:dyDescent="0.25">
      <c r="A77"/>
      <c r="B77" s="5"/>
      <c r="C77" s="5"/>
      <c r="D77" s="5"/>
      <c r="I77" s="26"/>
    </row>
    <row r="78" spans="1:9" s="8" customFormat="1" ht="15.75" x14ac:dyDescent="0.25">
      <c r="A78"/>
      <c r="B78" s="5"/>
      <c r="C78" s="5"/>
      <c r="D78" s="5"/>
      <c r="I78" s="26"/>
    </row>
    <row r="79" spans="1:9" s="8" customFormat="1" ht="15.75" x14ac:dyDescent="0.25">
      <c r="A79"/>
      <c r="B79" s="5"/>
      <c r="C79" s="5"/>
      <c r="D79" s="5"/>
      <c r="I79" s="26"/>
    </row>
    <row r="80" spans="1:9" s="8" customFormat="1" ht="15.75" x14ac:dyDescent="0.25">
      <c r="A80"/>
      <c r="B80" s="5"/>
      <c r="C80" s="5"/>
      <c r="D80" s="5"/>
      <c r="I80" s="26"/>
    </row>
    <row r="81" spans="1:9" s="8" customFormat="1" ht="15.75" x14ac:dyDescent="0.25">
      <c r="A81"/>
      <c r="B81" s="5"/>
      <c r="C81" s="5"/>
      <c r="D81" s="5"/>
      <c r="I81" s="26"/>
    </row>
    <row r="82" spans="1:9" s="8" customFormat="1" ht="15.75" x14ac:dyDescent="0.25">
      <c r="A82"/>
      <c r="B82" s="5"/>
      <c r="C82" s="5"/>
      <c r="D82" s="5"/>
      <c r="I82" s="26"/>
    </row>
    <row r="83" spans="1:9" s="8" customFormat="1" ht="15.75" x14ac:dyDescent="0.25">
      <c r="A83"/>
      <c r="B83" s="5"/>
      <c r="C83" s="5"/>
      <c r="D83" s="5"/>
      <c r="I83" s="26"/>
    </row>
    <row r="84" spans="1:9" s="8" customFormat="1" ht="15.75" x14ac:dyDescent="0.25">
      <c r="A84"/>
      <c r="B84" s="5"/>
      <c r="C84" s="5"/>
      <c r="D84" s="5"/>
      <c r="I84" s="26"/>
    </row>
    <row r="85" spans="1:9" s="8" customFormat="1" ht="15.75" x14ac:dyDescent="0.25">
      <c r="A85"/>
      <c r="B85" s="5"/>
      <c r="C85" s="5"/>
      <c r="D85" s="5"/>
      <c r="I85" s="26"/>
    </row>
    <row r="86" spans="1:9" s="8" customFormat="1" ht="15.75" x14ac:dyDescent="0.25">
      <c r="A86"/>
      <c r="B86" s="5"/>
      <c r="C86" s="5"/>
      <c r="D86" s="5"/>
      <c r="I86" s="26"/>
    </row>
    <row r="87" spans="1:9" s="8" customFormat="1" ht="15.75" x14ac:dyDescent="0.25">
      <c r="A87"/>
      <c r="B87" s="5"/>
      <c r="C87" s="5"/>
      <c r="D87" s="5"/>
      <c r="I87" s="26"/>
    </row>
    <row r="88" spans="1:9" s="8" customFormat="1" ht="15.75" x14ac:dyDescent="0.25">
      <c r="A88"/>
      <c r="B88" s="5"/>
      <c r="C88" s="5"/>
      <c r="D88" s="5"/>
      <c r="I88" s="26"/>
    </row>
    <row r="89" spans="1:9" s="8" customFormat="1" ht="15.75" x14ac:dyDescent="0.25">
      <c r="A89"/>
      <c r="B89" s="5"/>
      <c r="C89" s="5"/>
      <c r="D89" s="5"/>
      <c r="I89" s="26"/>
    </row>
    <row r="90" spans="1:9" s="8" customFormat="1" ht="15.75" x14ac:dyDescent="0.25">
      <c r="A90"/>
      <c r="B90" s="5"/>
      <c r="C90" s="5"/>
      <c r="D90" s="5"/>
      <c r="I90" s="26"/>
    </row>
    <row r="91" spans="1:9" s="8" customFormat="1" ht="15.75" x14ac:dyDescent="0.25">
      <c r="A91"/>
      <c r="B91" s="5"/>
      <c r="C91" s="5"/>
      <c r="D91" s="5"/>
      <c r="I91" s="26"/>
    </row>
    <row r="92" spans="1:9" s="8" customFormat="1" ht="15.75" x14ac:dyDescent="0.25">
      <c r="A92"/>
      <c r="B92" s="5"/>
      <c r="C92" s="5"/>
      <c r="D92" s="5"/>
      <c r="I92" s="26"/>
    </row>
    <row r="93" spans="1:9" s="8" customFormat="1" ht="15.75" x14ac:dyDescent="0.25">
      <c r="A93"/>
      <c r="B93" s="5"/>
      <c r="C93" s="5"/>
      <c r="D93" s="5"/>
      <c r="I93" s="26"/>
    </row>
    <row r="94" spans="1:9" s="8" customFormat="1" ht="15.75" x14ac:dyDescent="0.25">
      <c r="A94"/>
      <c r="B94" s="5"/>
      <c r="C94" s="5"/>
      <c r="D94" s="5"/>
      <c r="I94" s="26"/>
    </row>
    <row r="95" spans="1:9" s="8" customFormat="1" ht="15.75" x14ac:dyDescent="0.25">
      <c r="A95"/>
      <c r="B95" s="5"/>
      <c r="C95" s="5"/>
      <c r="D95" s="5"/>
      <c r="I95" s="26"/>
    </row>
    <row r="96" spans="1:9" s="8" customFormat="1" ht="15.75" x14ac:dyDescent="0.25">
      <c r="A96"/>
      <c r="B96" s="5"/>
      <c r="C96" s="5"/>
      <c r="D96" s="5"/>
      <c r="I96" s="26"/>
    </row>
    <row r="97" spans="1:9" s="8" customFormat="1" ht="15.75" x14ac:dyDescent="0.25">
      <c r="A97"/>
      <c r="B97" s="5"/>
      <c r="C97" s="5"/>
      <c r="D97" s="5"/>
      <c r="I97" s="26"/>
    </row>
    <row r="98" spans="1:9" s="8" customFormat="1" ht="15.75" x14ac:dyDescent="0.25">
      <c r="A98"/>
      <c r="B98" s="5"/>
      <c r="C98" s="5"/>
      <c r="D98" s="5"/>
      <c r="I98" s="26"/>
    </row>
    <row r="99" spans="1:9" s="8" customFormat="1" ht="15.75" x14ac:dyDescent="0.25">
      <c r="A99"/>
      <c r="B99" s="5"/>
      <c r="C99" s="5"/>
      <c r="D99" s="5"/>
      <c r="I99" s="26"/>
    </row>
    <row r="100" spans="1:9" s="8" customFormat="1" ht="15.75" x14ac:dyDescent="0.25">
      <c r="A100"/>
      <c r="B100" s="5"/>
      <c r="C100" s="5"/>
      <c r="D100" s="5"/>
      <c r="I100" s="26"/>
    </row>
    <row r="101" spans="1:9" s="8" customFormat="1" ht="15.75" x14ac:dyDescent="0.25">
      <c r="A101"/>
      <c r="B101" s="5"/>
      <c r="C101" s="5"/>
      <c r="D101" s="5"/>
      <c r="I101" s="26"/>
    </row>
    <row r="102" spans="1:9" s="8" customFormat="1" ht="15.75" x14ac:dyDescent="0.25">
      <c r="A102"/>
      <c r="B102" s="5"/>
      <c r="C102" s="5"/>
      <c r="D102" s="5"/>
      <c r="I102" s="26"/>
    </row>
    <row r="103" spans="1:9" s="8" customFormat="1" ht="15.75" x14ac:dyDescent="0.25">
      <c r="A103"/>
      <c r="B103" s="5"/>
      <c r="C103" s="5"/>
      <c r="D103" s="5"/>
      <c r="I103" s="26"/>
    </row>
    <row r="104" spans="1:9" s="8" customFormat="1" ht="15.75" x14ac:dyDescent="0.25">
      <c r="A104"/>
      <c r="B104" s="5"/>
      <c r="C104" s="5"/>
      <c r="D104" s="5"/>
      <c r="I104" s="26"/>
    </row>
    <row r="105" spans="1:9" s="8" customFormat="1" ht="15.75" x14ac:dyDescent="0.25">
      <c r="A105"/>
      <c r="B105" s="5"/>
      <c r="C105" s="5"/>
      <c r="D105" s="5"/>
      <c r="I105" s="26"/>
    </row>
    <row r="106" spans="1:9" s="8" customFormat="1" ht="15.75" x14ac:dyDescent="0.25">
      <c r="A106"/>
      <c r="B106" s="5"/>
      <c r="C106" s="5"/>
      <c r="D106" s="5"/>
      <c r="I106" s="26"/>
    </row>
    <row r="107" spans="1:9" s="8" customFormat="1" ht="15.75" x14ac:dyDescent="0.25">
      <c r="A107"/>
      <c r="B107" s="5"/>
      <c r="C107" s="5"/>
      <c r="D107" s="5"/>
      <c r="I107" s="26"/>
    </row>
    <row r="108" spans="1:9" s="8" customFormat="1" ht="15.75" x14ac:dyDescent="0.25">
      <c r="A108"/>
      <c r="B108" s="5"/>
      <c r="C108" s="5"/>
      <c r="D108" s="5"/>
      <c r="I108" s="26"/>
    </row>
    <row r="109" spans="1:9" s="8" customFormat="1" ht="15.75" x14ac:dyDescent="0.25">
      <c r="A109"/>
      <c r="B109" s="5"/>
      <c r="C109" s="5"/>
      <c r="D109" s="5"/>
      <c r="I109" s="26"/>
    </row>
    <row r="110" spans="1:9" s="8" customFormat="1" ht="15.75" x14ac:dyDescent="0.25">
      <c r="A110"/>
      <c r="B110" s="5"/>
      <c r="C110" s="5"/>
      <c r="D110" s="5"/>
      <c r="I110" s="26"/>
    </row>
    <row r="111" spans="1:9" s="8" customFormat="1" ht="15.75" x14ac:dyDescent="0.25">
      <c r="A111"/>
      <c r="B111" s="5"/>
      <c r="C111" s="5"/>
      <c r="D111" s="5"/>
      <c r="I111" s="26"/>
    </row>
    <row r="112" spans="1:9" s="8" customFormat="1" ht="15.75" x14ac:dyDescent="0.25">
      <c r="A112"/>
      <c r="B112" s="5"/>
      <c r="C112" s="5"/>
      <c r="D112" s="5"/>
      <c r="I112" s="26"/>
    </row>
    <row r="113" spans="1:9" s="8" customFormat="1" ht="15.75" x14ac:dyDescent="0.25">
      <c r="A113"/>
      <c r="B113" s="5"/>
      <c r="C113" s="5"/>
      <c r="D113" s="5"/>
      <c r="I113" s="26"/>
    </row>
    <row r="114" spans="1:9" s="8" customFormat="1" ht="15.75" x14ac:dyDescent="0.25">
      <c r="A114"/>
      <c r="B114" s="5"/>
      <c r="C114" s="5"/>
      <c r="D114" s="5"/>
      <c r="I114" s="26"/>
    </row>
    <row r="115" spans="1:9" s="8" customFormat="1" ht="15.75" x14ac:dyDescent="0.25">
      <c r="A115"/>
      <c r="B115" s="5"/>
      <c r="C115" s="5"/>
      <c r="D115" s="5"/>
      <c r="I115" s="26"/>
    </row>
    <row r="116" spans="1:9" s="8" customFormat="1" ht="15.75" x14ac:dyDescent="0.25">
      <c r="A116"/>
      <c r="B116" s="5"/>
      <c r="C116" s="5"/>
      <c r="D116" s="5"/>
      <c r="I116" s="26"/>
    </row>
    <row r="117" spans="1:9" s="8" customFormat="1" ht="15.75" x14ac:dyDescent="0.25">
      <c r="A117"/>
      <c r="B117" s="5"/>
      <c r="C117" s="5"/>
      <c r="D117" s="5"/>
      <c r="I117" s="26"/>
    </row>
    <row r="118" spans="1:9" s="8" customFormat="1" ht="15.75" x14ac:dyDescent="0.25">
      <c r="A118"/>
      <c r="B118" s="5"/>
      <c r="C118" s="5"/>
      <c r="D118" s="5"/>
      <c r="I118" s="26"/>
    </row>
    <row r="119" spans="1:9" s="8" customFormat="1" ht="15.75" x14ac:dyDescent="0.25">
      <c r="A119"/>
      <c r="B119" s="5"/>
      <c r="C119" s="5"/>
      <c r="D119" s="5"/>
      <c r="I119" s="26"/>
    </row>
    <row r="120" spans="1:9" s="8" customFormat="1" ht="15.75" x14ac:dyDescent="0.25">
      <c r="A120"/>
      <c r="B120" s="5"/>
      <c r="C120" s="5"/>
      <c r="D120" s="5"/>
      <c r="I120" s="26"/>
    </row>
    <row r="121" spans="1:9" s="8" customFormat="1" ht="15.75" x14ac:dyDescent="0.25">
      <c r="A121"/>
      <c r="B121" s="5"/>
      <c r="C121" s="5"/>
      <c r="D121" s="5"/>
      <c r="I121" s="26"/>
    </row>
    <row r="122" spans="1:9" s="8" customFormat="1" ht="15.75" x14ac:dyDescent="0.25">
      <c r="A122"/>
      <c r="B122" s="5"/>
      <c r="C122" s="5"/>
      <c r="D122" s="5"/>
      <c r="I122" s="26"/>
    </row>
    <row r="123" spans="1:9" s="8" customFormat="1" ht="15.75" x14ac:dyDescent="0.25">
      <c r="A123"/>
      <c r="B123" s="5"/>
      <c r="C123" s="5"/>
      <c r="D123" s="5"/>
      <c r="I123" s="26"/>
    </row>
    <row r="124" spans="1:9" s="8" customFormat="1" ht="15.75" x14ac:dyDescent="0.25">
      <c r="A124"/>
      <c r="B124" s="5"/>
      <c r="C124" s="5"/>
      <c r="D124" s="5"/>
      <c r="I124" s="26"/>
    </row>
    <row r="125" spans="1:9" s="8" customFormat="1" ht="15.75" x14ac:dyDescent="0.25">
      <c r="A125"/>
      <c r="B125" s="5"/>
      <c r="C125" s="5"/>
      <c r="D125" s="5"/>
      <c r="I125" s="26"/>
    </row>
    <row r="126" spans="1:9" s="8" customFormat="1" ht="15.75" x14ac:dyDescent="0.25">
      <c r="A126"/>
      <c r="B126" s="5"/>
      <c r="C126" s="5"/>
      <c r="D126" s="5"/>
      <c r="I126" s="26"/>
    </row>
    <row r="127" spans="1:9" s="8" customFormat="1" ht="15.75" x14ac:dyDescent="0.25">
      <c r="A127"/>
      <c r="B127" s="5"/>
      <c r="C127" s="5"/>
      <c r="D127" s="5"/>
      <c r="I127" s="26"/>
    </row>
    <row r="128" spans="1:9" s="8" customFormat="1" ht="15.75" x14ac:dyDescent="0.25">
      <c r="A128"/>
      <c r="B128" s="5"/>
      <c r="C128" s="5"/>
      <c r="D128" s="5"/>
      <c r="I128" s="26"/>
    </row>
    <row r="129" spans="4:9" ht="15.75" x14ac:dyDescent="0.25">
      <c r="D129" s="5"/>
      <c r="E129" s="8"/>
      <c r="F129" s="8"/>
      <c r="G129" s="8"/>
      <c r="H129" s="8"/>
      <c r="I129" s="26"/>
    </row>
  </sheetData>
  <sortState xmlns:xlrd2="http://schemas.microsoft.com/office/spreadsheetml/2017/richdata2" ref="A6:O8">
    <sortCondition ref="C6:C8"/>
    <sortCondition ref="D6:D8"/>
  </sortState>
  <pageMargins left="0.7" right="0.7" top="0.75" bottom="0.75" header="0.3" footer="0.3"/>
  <pageSetup scale="4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0060-FF61-40D8-881A-18B346FB78E1}">
  <dimension ref="A1:J179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bestFit="1" customWidth="1"/>
    <col min="7" max="7" width="4.42578125" customWidth="1"/>
    <col min="8" max="9" width="20.5703125" bestFit="1" customWidth="1"/>
    <col min="10" max="10" width="15.5703125" customWidth="1"/>
  </cols>
  <sheetData>
    <row r="1" spans="1:10" x14ac:dyDescent="0.25">
      <c r="A1" s="1" t="s">
        <v>126</v>
      </c>
    </row>
    <row r="2" spans="1:10" x14ac:dyDescent="0.25">
      <c r="A2" s="2" t="s">
        <v>122</v>
      </c>
      <c r="B2" s="2"/>
      <c r="C2" s="23">
        <v>45501</v>
      </c>
    </row>
    <row r="3" spans="1:10" ht="30" x14ac:dyDescent="0.25">
      <c r="A3" s="2" t="s">
        <v>123</v>
      </c>
      <c r="B3" s="2"/>
      <c r="C3" s="23">
        <v>45505</v>
      </c>
      <c r="F3" s="39" t="s">
        <v>131</v>
      </c>
      <c r="J3" s="39" t="s">
        <v>131</v>
      </c>
    </row>
    <row r="4" spans="1:10" s="22" customFormat="1" ht="15.7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24" t="s">
        <v>125</v>
      </c>
      <c r="G4" s="34"/>
      <c r="H4" s="24" t="s">
        <v>127</v>
      </c>
      <c r="I4" s="24" t="s">
        <v>128</v>
      </c>
      <c r="J4" s="6" t="s">
        <v>129</v>
      </c>
    </row>
    <row r="5" spans="1:10" s="8" customFormat="1" ht="15.75" x14ac:dyDescent="0.25">
      <c r="A5" s="7">
        <f>A4+1</f>
        <v>1</v>
      </c>
      <c r="B5" s="4"/>
      <c r="C5" s="4" t="s">
        <v>5</v>
      </c>
      <c r="D5" s="4" t="s">
        <v>6</v>
      </c>
      <c r="E5" s="7" t="s">
        <v>7</v>
      </c>
      <c r="F5" s="25" t="e">
        <f>SUMIF(#REF!,D5,#REF!)</f>
        <v>#REF!</v>
      </c>
      <c r="G5" s="35"/>
      <c r="H5" s="25" t="e">
        <f>SUMIF(#REF!,D5,#REF!)</f>
        <v>#REF!</v>
      </c>
      <c r="I5" s="25" t="e">
        <f>SUMIF(#REF!,D5,#REF!)</f>
        <v>#REF!</v>
      </c>
      <c r="J5" s="9" t="e">
        <f>SUM(H5:I5)</f>
        <v>#REF!</v>
      </c>
    </row>
    <row r="6" spans="1:10" s="8" customFormat="1" ht="15.75" x14ac:dyDescent="0.25">
      <c r="A6" s="7">
        <f>A5+1</f>
        <v>2</v>
      </c>
      <c r="B6" s="4" t="s">
        <v>8</v>
      </c>
      <c r="C6" s="4" t="s">
        <v>9</v>
      </c>
      <c r="D6" s="4" t="s">
        <v>10</v>
      </c>
      <c r="E6" s="7" t="s">
        <v>11</v>
      </c>
      <c r="F6" s="25" t="e">
        <f>SUMIF(#REF!,D6,#REF!)</f>
        <v>#REF!</v>
      </c>
      <c r="G6" s="35"/>
      <c r="H6" s="25" t="e">
        <f>SUMIF(#REF!,D6,#REF!)</f>
        <v>#REF!</v>
      </c>
      <c r="I6" s="25" t="e">
        <f>SUMIF(#REF!,D6,#REF!)</f>
        <v>#REF!</v>
      </c>
      <c r="J6" s="9" t="e">
        <f t="shared" ref="J6:J57" si="0">SUM(H6:I6)</f>
        <v>#REF!</v>
      </c>
    </row>
    <row r="7" spans="1:10" s="8" customFormat="1" ht="15.75" x14ac:dyDescent="0.25">
      <c r="A7" s="7">
        <f t="shared" ref="A7:A57" si="1">A6+1</f>
        <v>3</v>
      </c>
      <c r="B7" s="4"/>
      <c r="C7" s="4" t="s">
        <v>12</v>
      </c>
      <c r="D7" s="4" t="s">
        <v>13</v>
      </c>
      <c r="E7" s="7" t="s">
        <v>14</v>
      </c>
      <c r="F7" s="25" t="e">
        <f>SUMIF(#REF!,D7,#REF!)</f>
        <v>#REF!</v>
      </c>
      <c r="G7" s="35"/>
      <c r="H7" s="25" t="e">
        <f>SUMIF(#REF!,D7,#REF!)</f>
        <v>#REF!</v>
      </c>
      <c r="I7" s="25" t="e">
        <f>SUMIF(#REF!,D7,#REF!)</f>
        <v>#REF!</v>
      </c>
      <c r="J7" s="9" t="e">
        <f t="shared" si="0"/>
        <v>#REF!</v>
      </c>
    </row>
    <row r="8" spans="1:10" s="8" customFormat="1" ht="15.75" x14ac:dyDescent="0.25">
      <c r="A8" s="7">
        <f t="shared" si="1"/>
        <v>4</v>
      </c>
      <c r="B8" s="4"/>
      <c r="C8" s="4" t="s">
        <v>15</v>
      </c>
      <c r="D8" s="4" t="s">
        <v>16</v>
      </c>
      <c r="E8" s="7" t="s">
        <v>14</v>
      </c>
      <c r="F8" s="25" t="e">
        <f>SUMIF(#REF!,D8,#REF!)</f>
        <v>#REF!</v>
      </c>
      <c r="G8" s="35"/>
      <c r="H8" s="25" t="e">
        <f>SUMIF(#REF!,D8,#REF!)</f>
        <v>#REF!</v>
      </c>
      <c r="I8" s="25" t="e">
        <f>SUMIF(#REF!,D8,#REF!)</f>
        <v>#REF!</v>
      </c>
      <c r="J8" s="9" t="e">
        <f t="shared" si="0"/>
        <v>#REF!</v>
      </c>
    </row>
    <row r="9" spans="1:10" s="8" customFormat="1" ht="15.75" x14ac:dyDescent="0.25">
      <c r="A9" s="7">
        <f t="shared" si="1"/>
        <v>5</v>
      </c>
      <c r="B9" s="4"/>
      <c r="C9" s="4" t="s">
        <v>17</v>
      </c>
      <c r="D9" s="4" t="s">
        <v>18</v>
      </c>
      <c r="E9" s="7" t="s">
        <v>14</v>
      </c>
      <c r="F9" s="25" t="e">
        <f>SUMIF(#REF!,D9,#REF!)</f>
        <v>#REF!</v>
      </c>
      <c r="G9" s="35"/>
      <c r="H9" s="25" t="e">
        <f>SUMIF(#REF!,D9,#REF!)</f>
        <v>#REF!</v>
      </c>
      <c r="I9" s="25" t="e">
        <f>SUMIF(#REF!,D9,#REF!)</f>
        <v>#REF!</v>
      </c>
      <c r="J9" s="9" t="e">
        <f t="shared" si="0"/>
        <v>#REF!</v>
      </c>
    </row>
    <row r="10" spans="1:10" s="8" customFormat="1" ht="15.75" x14ac:dyDescent="0.25">
      <c r="A10" s="7">
        <f t="shared" si="1"/>
        <v>6</v>
      </c>
      <c r="B10" s="4"/>
      <c r="C10" s="4" t="s">
        <v>17</v>
      </c>
      <c r="D10" s="4" t="s">
        <v>19</v>
      </c>
      <c r="E10" s="7" t="s">
        <v>11</v>
      </c>
      <c r="F10" s="25" t="e">
        <f>SUMIF(#REF!,D10,#REF!)</f>
        <v>#REF!</v>
      </c>
      <c r="G10" s="35"/>
      <c r="H10" s="25" t="e">
        <f>SUMIF(#REF!,D10,#REF!)</f>
        <v>#REF!</v>
      </c>
      <c r="I10" s="25" t="e">
        <f>SUMIF(#REF!,D10,#REF!)</f>
        <v>#REF!</v>
      </c>
      <c r="J10" s="9" t="e">
        <f t="shared" si="0"/>
        <v>#REF!</v>
      </c>
    </row>
    <row r="11" spans="1:10" s="8" customFormat="1" ht="15.75" x14ac:dyDescent="0.25">
      <c r="A11" s="7">
        <f t="shared" si="1"/>
        <v>7</v>
      </c>
      <c r="B11" s="4"/>
      <c r="C11" s="4" t="s">
        <v>17</v>
      </c>
      <c r="D11" s="4" t="s">
        <v>20</v>
      </c>
      <c r="E11" s="7" t="s">
        <v>14</v>
      </c>
      <c r="F11" s="25" t="e">
        <f>SUMIF(#REF!,D11,#REF!)</f>
        <v>#REF!</v>
      </c>
      <c r="G11" s="35"/>
      <c r="H11" s="25" t="e">
        <f>SUMIF(#REF!,D11,#REF!)</f>
        <v>#REF!</v>
      </c>
      <c r="I11" s="25" t="e">
        <f>SUMIF(#REF!,D11,#REF!)</f>
        <v>#REF!</v>
      </c>
      <c r="J11" s="9" t="e">
        <f t="shared" si="0"/>
        <v>#REF!</v>
      </c>
    </row>
    <row r="12" spans="1:10" s="8" customFormat="1" ht="15.75" x14ac:dyDescent="0.25">
      <c r="A12" s="7">
        <f t="shared" si="1"/>
        <v>8</v>
      </c>
      <c r="B12" s="4"/>
      <c r="C12" s="4" t="s">
        <v>21</v>
      </c>
      <c r="D12" s="4" t="s">
        <v>22</v>
      </c>
      <c r="E12" s="7" t="s">
        <v>11</v>
      </c>
      <c r="F12" s="25" t="e">
        <f>SUMIF(#REF!,D12,#REF!)</f>
        <v>#REF!</v>
      </c>
      <c r="G12" s="35"/>
      <c r="H12" s="25" t="e">
        <f>SUMIF(#REF!,D12,#REF!)</f>
        <v>#REF!</v>
      </c>
      <c r="I12" s="25" t="e">
        <f>SUMIF(#REF!,D12,#REF!)</f>
        <v>#REF!</v>
      </c>
      <c r="J12" s="9" t="e">
        <f t="shared" si="0"/>
        <v>#REF!</v>
      </c>
    </row>
    <row r="13" spans="1:10" s="8" customFormat="1" ht="15.75" x14ac:dyDescent="0.25">
      <c r="A13" s="7">
        <f t="shared" si="1"/>
        <v>9</v>
      </c>
      <c r="B13" s="4" t="s">
        <v>23</v>
      </c>
      <c r="C13" s="4" t="s">
        <v>24</v>
      </c>
      <c r="D13" s="4" t="s">
        <v>25</v>
      </c>
      <c r="E13" s="7" t="s">
        <v>11</v>
      </c>
      <c r="F13" s="25" t="e">
        <f>SUMIF(#REF!,D13,#REF!)</f>
        <v>#REF!</v>
      </c>
      <c r="G13" s="35"/>
      <c r="H13" s="25" t="e">
        <f>SUMIF(#REF!,D13,#REF!)</f>
        <v>#REF!</v>
      </c>
      <c r="I13" s="25" t="e">
        <f>SUMIF(#REF!,D13,#REF!)</f>
        <v>#REF!</v>
      </c>
      <c r="J13" s="9" t="e">
        <f t="shared" si="0"/>
        <v>#REF!</v>
      </c>
    </row>
    <row r="14" spans="1:10" s="8" customFormat="1" ht="15.75" x14ac:dyDescent="0.25">
      <c r="A14" s="7">
        <f t="shared" si="1"/>
        <v>10</v>
      </c>
      <c r="B14" s="4" t="s">
        <v>26</v>
      </c>
      <c r="C14" s="4" t="s">
        <v>27</v>
      </c>
      <c r="D14" s="4" t="s">
        <v>28</v>
      </c>
      <c r="E14" s="7" t="s">
        <v>14</v>
      </c>
      <c r="F14" s="25" t="e">
        <f>SUMIF(#REF!,D14,#REF!)</f>
        <v>#REF!</v>
      </c>
      <c r="G14" s="35"/>
      <c r="H14" s="25" t="e">
        <f>SUMIF(#REF!,D14,#REF!)</f>
        <v>#REF!</v>
      </c>
      <c r="I14" s="25" t="e">
        <f>SUMIF(#REF!,D14,#REF!)</f>
        <v>#REF!</v>
      </c>
      <c r="J14" s="9" t="e">
        <f t="shared" si="0"/>
        <v>#REF!</v>
      </c>
    </row>
    <row r="15" spans="1:10" s="8" customFormat="1" ht="15.75" x14ac:dyDescent="0.25">
      <c r="A15" s="7">
        <f t="shared" si="1"/>
        <v>11</v>
      </c>
      <c r="B15" s="4" t="s">
        <v>29</v>
      </c>
      <c r="C15" s="4" t="s">
        <v>30</v>
      </c>
      <c r="D15" s="4" t="s">
        <v>31</v>
      </c>
      <c r="E15" s="7" t="s">
        <v>14</v>
      </c>
      <c r="F15" s="25" t="e">
        <f>SUMIF(#REF!,D15,#REF!)</f>
        <v>#REF!</v>
      </c>
      <c r="G15" s="35"/>
      <c r="H15" s="25" t="e">
        <f>SUMIF(#REF!,D15,#REF!)</f>
        <v>#REF!</v>
      </c>
      <c r="I15" s="25" t="e">
        <f>SUMIF(#REF!,D15,#REF!)</f>
        <v>#REF!</v>
      </c>
      <c r="J15" s="9" t="e">
        <f t="shared" si="0"/>
        <v>#REF!</v>
      </c>
    </row>
    <row r="16" spans="1:10" s="8" customFormat="1" ht="15.75" x14ac:dyDescent="0.25">
      <c r="A16" s="7">
        <f t="shared" si="1"/>
        <v>12</v>
      </c>
      <c r="B16" s="4"/>
      <c r="C16" s="4" t="s">
        <v>32</v>
      </c>
      <c r="D16" s="4" t="s">
        <v>33</v>
      </c>
      <c r="E16" s="7" t="s">
        <v>11</v>
      </c>
      <c r="F16" s="25" t="e">
        <f>SUMIF(#REF!,D16,#REF!)</f>
        <v>#REF!</v>
      </c>
      <c r="G16" s="35"/>
      <c r="H16" s="25" t="e">
        <f>SUMIF(#REF!,D16,#REF!)</f>
        <v>#REF!</v>
      </c>
      <c r="I16" s="25" t="e">
        <f>SUMIF(#REF!,D16,#REF!)</f>
        <v>#REF!</v>
      </c>
      <c r="J16" s="9" t="e">
        <f t="shared" si="0"/>
        <v>#REF!</v>
      </c>
    </row>
    <row r="17" spans="1:10" s="8" customFormat="1" ht="15.75" x14ac:dyDescent="0.25">
      <c r="A17" s="7">
        <f t="shared" si="1"/>
        <v>13</v>
      </c>
      <c r="B17" s="4" t="s">
        <v>34</v>
      </c>
      <c r="C17" s="4" t="s">
        <v>35</v>
      </c>
      <c r="D17" s="4" t="s">
        <v>36</v>
      </c>
      <c r="E17" s="7" t="s">
        <v>14</v>
      </c>
      <c r="F17" s="25" t="e">
        <f>SUMIF(#REF!,D17,#REF!)</f>
        <v>#REF!</v>
      </c>
      <c r="G17" s="35"/>
      <c r="H17" s="25" t="e">
        <f>SUMIF(#REF!,D17,#REF!)</f>
        <v>#REF!</v>
      </c>
      <c r="I17" s="25" t="e">
        <f>SUMIF(#REF!,D17,#REF!)</f>
        <v>#REF!</v>
      </c>
      <c r="J17" s="9" t="e">
        <f t="shared" si="0"/>
        <v>#REF!</v>
      </c>
    </row>
    <row r="18" spans="1:10" s="8" customFormat="1" ht="15.75" x14ac:dyDescent="0.25">
      <c r="A18" s="7">
        <f t="shared" si="1"/>
        <v>14</v>
      </c>
      <c r="B18" s="4"/>
      <c r="C18" s="4" t="s">
        <v>37</v>
      </c>
      <c r="D18" s="4" t="s">
        <v>38</v>
      </c>
      <c r="E18" s="7" t="s">
        <v>14</v>
      </c>
      <c r="F18" s="25" t="e">
        <f>SUMIF(#REF!,D18,#REF!)</f>
        <v>#REF!</v>
      </c>
      <c r="G18" s="35"/>
      <c r="H18" s="25" t="e">
        <f>SUMIF(#REF!,D18,#REF!)</f>
        <v>#REF!</v>
      </c>
      <c r="I18" s="25" t="e">
        <f>SUMIF(#REF!,D18,#REF!)</f>
        <v>#REF!</v>
      </c>
      <c r="J18" s="9" t="e">
        <f t="shared" si="0"/>
        <v>#REF!</v>
      </c>
    </row>
    <row r="19" spans="1:10" s="8" customFormat="1" ht="15.75" x14ac:dyDescent="0.25">
      <c r="A19" s="7">
        <f t="shared" si="1"/>
        <v>15</v>
      </c>
      <c r="B19" s="4"/>
      <c r="C19" s="4" t="s">
        <v>39</v>
      </c>
      <c r="D19" s="4" t="s">
        <v>40</v>
      </c>
      <c r="E19" s="7" t="s">
        <v>14</v>
      </c>
      <c r="F19" s="25" t="e">
        <f>SUMIF(#REF!,D19,#REF!)</f>
        <v>#REF!</v>
      </c>
      <c r="G19" s="35"/>
      <c r="H19" s="25" t="e">
        <f>SUMIF(#REF!,D19,#REF!)</f>
        <v>#REF!</v>
      </c>
      <c r="I19" s="25" t="e">
        <f>SUMIF(#REF!,D19,#REF!)</f>
        <v>#REF!</v>
      </c>
      <c r="J19" s="9" t="e">
        <f t="shared" si="0"/>
        <v>#REF!</v>
      </c>
    </row>
    <row r="20" spans="1:10" s="8" customFormat="1" ht="15.75" x14ac:dyDescent="0.25">
      <c r="A20" s="7">
        <f t="shared" si="1"/>
        <v>16</v>
      </c>
      <c r="B20" s="4"/>
      <c r="C20" s="4" t="s">
        <v>39</v>
      </c>
      <c r="D20" s="4" t="s">
        <v>41</v>
      </c>
      <c r="E20" s="7" t="s">
        <v>11</v>
      </c>
      <c r="F20" s="25" t="e">
        <f>SUMIF(#REF!,D20,#REF!)</f>
        <v>#REF!</v>
      </c>
      <c r="G20" s="35"/>
      <c r="H20" s="25" t="e">
        <f>SUMIF(#REF!,D20,#REF!)</f>
        <v>#REF!</v>
      </c>
      <c r="I20" s="25" t="e">
        <f>SUMIF(#REF!,D20,#REF!)</f>
        <v>#REF!</v>
      </c>
      <c r="J20" s="9" t="e">
        <f t="shared" si="0"/>
        <v>#REF!</v>
      </c>
    </row>
    <row r="21" spans="1:10" s="8" customFormat="1" ht="15.75" x14ac:dyDescent="0.25">
      <c r="A21" s="7">
        <f t="shared" si="1"/>
        <v>17</v>
      </c>
      <c r="B21" s="4"/>
      <c r="C21" s="4" t="s">
        <v>42</v>
      </c>
      <c r="D21" s="4" t="s">
        <v>43</v>
      </c>
      <c r="E21" s="7" t="s">
        <v>11</v>
      </c>
      <c r="F21" s="25" t="e">
        <f>SUMIF(#REF!,D21,#REF!)</f>
        <v>#REF!</v>
      </c>
      <c r="G21" s="35"/>
      <c r="H21" s="25" t="e">
        <f>SUMIF(#REF!,D21,#REF!)</f>
        <v>#REF!</v>
      </c>
      <c r="I21" s="25" t="e">
        <f>SUMIF(#REF!,D21,#REF!)</f>
        <v>#REF!</v>
      </c>
      <c r="J21" s="9" t="e">
        <f t="shared" si="0"/>
        <v>#REF!</v>
      </c>
    </row>
    <row r="22" spans="1:10" s="8" customFormat="1" ht="15.75" x14ac:dyDescent="0.25">
      <c r="A22" s="7">
        <f t="shared" si="1"/>
        <v>18</v>
      </c>
      <c r="B22" s="4"/>
      <c r="C22" s="4" t="s">
        <v>44</v>
      </c>
      <c r="D22" s="4" t="s">
        <v>45</v>
      </c>
      <c r="E22" s="7" t="s">
        <v>11</v>
      </c>
      <c r="F22" s="25" t="e">
        <f>SUMIF(#REF!,D22,#REF!)</f>
        <v>#REF!</v>
      </c>
      <c r="G22" s="35"/>
      <c r="H22" s="25" t="e">
        <f>SUMIF(#REF!,D22,#REF!)</f>
        <v>#REF!</v>
      </c>
      <c r="I22" s="25" t="e">
        <f>SUMIF(#REF!,D22,#REF!)</f>
        <v>#REF!</v>
      </c>
      <c r="J22" s="9" t="e">
        <f t="shared" si="0"/>
        <v>#REF!</v>
      </c>
    </row>
    <row r="23" spans="1:10" s="8" customFormat="1" ht="15.75" x14ac:dyDescent="0.25">
      <c r="A23" s="7">
        <f t="shared" si="1"/>
        <v>19</v>
      </c>
      <c r="B23" s="4"/>
      <c r="C23" s="4" t="s">
        <v>46</v>
      </c>
      <c r="D23" s="4" t="s">
        <v>47</v>
      </c>
      <c r="E23" s="7" t="s">
        <v>11</v>
      </c>
      <c r="F23" s="25" t="e">
        <f>SUMIF(#REF!,D23,#REF!)</f>
        <v>#REF!</v>
      </c>
      <c r="G23" s="35"/>
      <c r="H23" s="25" t="e">
        <f>SUMIF(#REF!,D23,#REF!)</f>
        <v>#REF!</v>
      </c>
      <c r="I23" s="25" t="e">
        <f>SUMIF(#REF!,D23,#REF!)</f>
        <v>#REF!</v>
      </c>
      <c r="J23" s="9" t="e">
        <f t="shared" si="0"/>
        <v>#REF!</v>
      </c>
    </row>
    <row r="24" spans="1:10" s="8" customFormat="1" ht="15.75" x14ac:dyDescent="0.25">
      <c r="A24" s="7">
        <f t="shared" si="1"/>
        <v>20</v>
      </c>
      <c r="B24" s="4"/>
      <c r="C24" s="4" t="s">
        <v>48</v>
      </c>
      <c r="D24" s="4" t="s">
        <v>49</v>
      </c>
      <c r="E24" s="7" t="s">
        <v>11</v>
      </c>
      <c r="F24" s="25" t="e">
        <f>SUMIF(#REF!,D24,#REF!)</f>
        <v>#REF!</v>
      </c>
      <c r="G24" s="35"/>
      <c r="H24" s="25" t="e">
        <f>SUMIF(#REF!,D24,#REF!)</f>
        <v>#REF!</v>
      </c>
      <c r="I24" s="25" t="e">
        <f>SUMIF(#REF!,D24,#REF!)</f>
        <v>#REF!</v>
      </c>
      <c r="J24" s="9" t="e">
        <f t="shared" si="0"/>
        <v>#REF!</v>
      </c>
    </row>
    <row r="25" spans="1:10" s="8" customFormat="1" ht="15.75" x14ac:dyDescent="0.25">
      <c r="A25" s="7">
        <f t="shared" si="1"/>
        <v>21</v>
      </c>
      <c r="B25" s="4"/>
      <c r="C25" s="4" t="s">
        <v>48</v>
      </c>
      <c r="D25" s="4" t="s">
        <v>50</v>
      </c>
      <c r="E25" s="7" t="s">
        <v>11</v>
      </c>
      <c r="F25" s="25" t="e">
        <f>SUMIF(#REF!,D25,#REF!)</f>
        <v>#REF!</v>
      </c>
      <c r="G25" s="35"/>
      <c r="H25" s="25" t="e">
        <f>SUMIF(#REF!,D25,#REF!)</f>
        <v>#REF!</v>
      </c>
      <c r="I25" s="25" t="e">
        <f>SUMIF(#REF!,D25,#REF!)</f>
        <v>#REF!</v>
      </c>
      <c r="J25" s="9" t="e">
        <f t="shared" si="0"/>
        <v>#REF!</v>
      </c>
    </row>
    <row r="26" spans="1:10" s="8" customFormat="1" ht="15.75" x14ac:dyDescent="0.25">
      <c r="A26" s="7">
        <f t="shared" si="1"/>
        <v>22</v>
      </c>
      <c r="B26" s="4"/>
      <c r="C26" s="4" t="s">
        <v>51</v>
      </c>
      <c r="D26" s="4" t="s">
        <v>52</v>
      </c>
      <c r="E26" s="7" t="s">
        <v>14</v>
      </c>
      <c r="F26" s="25" t="e">
        <f>SUMIF(#REF!,D26,#REF!)</f>
        <v>#REF!</v>
      </c>
      <c r="G26" s="35"/>
      <c r="H26" s="25" t="e">
        <f>SUMIF(#REF!,D26,#REF!)</f>
        <v>#REF!</v>
      </c>
      <c r="I26" s="25" t="e">
        <f>SUMIF(#REF!,D26,#REF!)</f>
        <v>#REF!</v>
      </c>
      <c r="J26" s="9" t="e">
        <f t="shared" si="0"/>
        <v>#REF!</v>
      </c>
    </row>
    <row r="27" spans="1:10" s="8" customFormat="1" ht="15.75" x14ac:dyDescent="0.25">
      <c r="A27" s="7">
        <f t="shared" si="1"/>
        <v>23</v>
      </c>
      <c r="B27" s="4"/>
      <c r="C27" s="4" t="s">
        <v>53</v>
      </c>
      <c r="D27" s="4" t="s">
        <v>54</v>
      </c>
      <c r="E27" s="7" t="s">
        <v>11</v>
      </c>
      <c r="F27" s="25" t="e">
        <f>SUMIF(#REF!,D27,#REF!)</f>
        <v>#REF!</v>
      </c>
      <c r="G27" s="35"/>
      <c r="H27" s="25" t="e">
        <f>SUMIF(#REF!,D27,#REF!)</f>
        <v>#REF!</v>
      </c>
      <c r="I27" s="25" t="e">
        <f>SUMIF(#REF!,D27,#REF!)</f>
        <v>#REF!</v>
      </c>
      <c r="J27" s="9" t="e">
        <f t="shared" si="0"/>
        <v>#REF!</v>
      </c>
    </row>
    <row r="28" spans="1:10" s="8" customFormat="1" ht="15.75" x14ac:dyDescent="0.25">
      <c r="A28" s="7">
        <f t="shared" si="1"/>
        <v>24</v>
      </c>
      <c r="B28" s="4"/>
      <c r="C28" s="4" t="s">
        <v>55</v>
      </c>
      <c r="D28" s="4" t="s">
        <v>56</v>
      </c>
      <c r="E28" s="7" t="s">
        <v>14</v>
      </c>
      <c r="F28" s="25" t="e">
        <f>SUMIF(#REF!,D28,#REF!)</f>
        <v>#REF!</v>
      </c>
      <c r="G28" s="35"/>
      <c r="H28" s="25" t="e">
        <f>SUMIF(#REF!,D28,#REF!)</f>
        <v>#REF!</v>
      </c>
      <c r="I28" s="25" t="e">
        <f>SUMIF(#REF!,D28,#REF!)</f>
        <v>#REF!</v>
      </c>
      <c r="J28" s="9" t="e">
        <f t="shared" si="0"/>
        <v>#REF!</v>
      </c>
    </row>
    <row r="29" spans="1:10" s="8" customFormat="1" ht="15.75" x14ac:dyDescent="0.25">
      <c r="A29" s="7">
        <f t="shared" si="1"/>
        <v>25</v>
      </c>
      <c r="B29" s="4"/>
      <c r="C29" s="4" t="s">
        <v>57</v>
      </c>
      <c r="D29" s="4" t="s">
        <v>58</v>
      </c>
      <c r="E29" s="7" t="s">
        <v>14</v>
      </c>
      <c r="F29" s="25" t="e">
        <f>SUMIF(#REF!,D29,#REF!)</f>
        <v>#REF!</v>
      </c>
      <c r="G29" s="35"/>
      <c r="H29" s="25" t="e">
        <f>SUMIF(#REF!,D29,#REF!)</f>
        <v>#REF!</v>
      </c>
      <c r="I29" s="25" t="e">
        <f>SUMIF(#REF!,D29,#REF!)</f>
        <v>#REF!</v>
      </c>
      <c r="J29" s="9" t="e">
        <f t="shared" si="0"/>
        <v>#REF!</v>
      </c>
    </row>
    <row r="30" spans="1:10" s="8" customFormat="1" ht="17.45" customHeight="1" x14ac:dyDescent="0.25">
      <c r="A30" s="7">
        <f t="shared" si="1"/>
        <v>26</v>
      </c>
      <c r="B30" s="4"/>
      <c r="C30" s="4" t="s">
        <v>59</v>
      </c>
      <c r="D30" s="4" t="s">
        <v>60</v>
      </c>
      <c r="E30" s="10" t="s">
        <v>61</v>
      </c>
      <c r="F30" s="25" t="e">
        <f>SUMIF(#REF!,D30,#REF!)</f>
        <v>#REF!</v>
      </c>
      <c r="G30" s="35"/>
      <c r="H30" s="25" t="e">
        <f>SUMIF(#REF!,D30,#REF!)</f>
        <v>#REF!</v>
      </c>
      <c r="I30" s="25" t="e">
        <f>SUMIF(#REF!,D30,#REF!)</f>
        <v>#REF!</v>
      </c>
      <c r="J30" s="9" t="e">
        <f t="shared" si="0"/>
        <v>#REF!</v>
      </c>
    </row>
    <row r="31" spans="1:10" s="8" customFormat="1" ht="15.75" x14ac:dyDescent="0.25">
      <c r="A31" s="7">
        <f t="shared" si="1"/>
        <v>27</v>
      </c>
      <c r="B31" s="4"/>
      <c r="C31" s="4" t="s">
        <v>59</v>
      </c>
      <c r="D31" s="4" t="s">
        <v>62</v>
      </c>
      <c r="E31" s="7" t="s">
        <v>14</v>
      </c>
      <c r="F31" s="25" t="e">
        <f>SUMIF(#REF!,D31,#REF!)</f>
        <v>#REF!</v>
      </c>
      <c r="G31" s="35"/>
      <c r="H31" s="25" t="e">
        <f>SUMIF(#REF!,D31,#REF!)</f>
        <v>#REF!</v>
      </c>
      <c r="I31" s="25" t="e">
        <f>SUMIF(#REF!,D31,#REF!)</f>
        <v>#REF!</v>
      </c>
      <c r="J31" s="9" t="e">
        <f t="shared" si="0"/>
        <v>#REF!</v>
      </c>
    </row>
    <row r="32" spans="1:10" s="8" customFormat="1" ht="15.75" x14ac:dyDescent="0.25">
      <c r="A32" s="7">
        <f t="shared" si="1"/>
        <v>28</v>
      </c>
      <c r="B32" s="4"/>
      <c r="C32" s="4" t="s">
        <v>63</v>
      </c>
      <c r="D32" s="4" t="s">
        <v>64</v>
      </c>
      <c r="E32" s="7" t="s">
        <v>14</v>
      </c>
      <c r="F32" s="25" t="e">
        <f>SUMIF(#REF!,D32,#REF!)</f>
        <v>#REF!</v>
      </c>
      <c r="G32" s="35"/>
      <c r="H32" s="25" t="e">
        <f>SUMIF(#REF!,D32,#REF!)</f>
        <v>#REF!</v>
      </c>
      <c r="I32" s="25" t="e">
        <f>SUMIF(#REF!,D32,#REF!)</f>
        <v>#REF!</v>
      </c>
      <c r="J32" s="9" t="e">
        <f t="shared" si="0"/>
        <v>#REF!</v>
      </c>
    </row>
    <row r="33" spans="1:10" s="8" customFormat="1" ht="15.75" x14ac:dyDescent="0.25">
      <c r="A33" s="7">
        <f t="shared" si="1"/>
        <v>29</v>
      </c>
      <c r="B33" s="4"/>
      <c r="C33" s="4" t="s">
        <v>65</v>
      </c>
      <c r="D33" s="4" t="s">
        <v>66</v>
      </c>
      <c r="E33" s="7" t="s">
        <v>11</v>
      </c>
      <c r="F33" s="25" t="e">
        <f>SUMIF(#REF!,D33,#REF!)</f>
        <v>#REF!</v>
      </c>
      <c r="G33" s="35"/>
      <c r="H33" s="25" t="e">
        <f>SUMIF(#REF!,D33,#REF!)</f>
        <v>#REF!</v>
      </c>
      <c r="I33" s="25" t="e">
        <f>SUMIF(#REF!,D33,#REF!)</f>
        <v>#REF!</v>
      </c>
      <c r="J33" s="9" t="e">
        <f t="shared" si="0"/>
        <v>#REF!</v>
      </c>
    </row>
    <row r="34" spans="1:10" s="8" customFormat="1" ht="15.75" x14ac:dyDescent="0.25">
      <c r="A34" s="7">
        <f t="shared" si="1"/>
        <v>30</v>
      </c>
      <c r="B34" s="4"/>
      <c r="C34" s="4" t="s">
        <v>67</v>
      </c>
      <c r="D34" s="4" t="s">
        <v>68</v>
      </c>
      <c r="E34" s="7" t="s">
        <v>11</v>
      </c>
      <c r="F34" s="25" t="e">
        <f>SUMIF(#REF!,D34,#REF!)</f>
        <v>#REF!</v>
      </c>
      <c r="G34" s="35"/>
      <c r="H34" s="25" t="e">
        <f>SUMIF(#REF!,D34,#REF!)</f>
        <v>#REF!</v>
      </c>
      <c r="I34" s="25" t="e">
        <f>SUMIF(#REF!,D34,#REF!)</f>
        <v>#REF!</v>
      </c>
      <c r="J34" s="9" t="e">
        <f t="shared" si="0"/>
        <v>#REF!</v>
      </c>
    </row>
    <row r="35" spans="1:10" s="8" customFormat="1" ht="15.75" x14ac:dyDescent="0.25">
      <c r="A35" s="7">
        <f t="shared" si="1"/>
        <v>31</v>
      </c>
      <c r="B35" s="4"/>
      <c r="C35" s="4" t="s">
        <v>69</v>
      </c>
      <c r="D35" s="4" t="s">
        <v>70</v>
      </c>
      <c r="E35" s="7" t="s">
        <v>11</v>
      </c>
      <c r="F35" s="25" t="e">
        <f>SUMIF(#REF!,D35,#REF!)</f>
        <v>#REF!</v>
      </c>
      <c r="G35" s="35"/>
      <c r="H35" s="25" t="e">
        <f>SUMIF(#REF!,D35,#REF!)</f>
        <v>#REF!</v>
      </c>
      <c r="I35" s="25" t="e">
        <f>SUMIF(#REF!,D35,#REF!)</f>
        <v>#REF!</v>
      </c>
      <c r="J35" s="9" t="e">
        <f t="shared" si="0"/>
        <v>#REF!</v>
      </c>
    </row>
    <row r="36" spans="1:10" s="8" customFormat="1" ht="15.75" x14ac:dyDescent="0.25">
      <c r="A36" s="7">
        <f t="shared" si="1"/>
        <v>32</v>
      </c>
      <c r="B36" s="4"/>
      <c r="C36" s="4" t="s">
        <v>71</v>
      </c>
      <c r="D36" s="4" t="s">
        <v>72</v>
      </c>
      <c r="E36" s="7" t="s">
        <v>11</v>
      </c>
      <c r="F36" s="25" t="e">
        <f>SUMIF(#REF!,D36,#REF!)</f>
        <v>#REF!</v>
      </c>
      <c r="G36" s="35"/>
      <c r="H36" s="25" t="e">
        <f>SUMIF(#REF!,D36,#REF!)</f>
        <v>#REF!</v>
      </c>
      <c r="I36" s="25" t="e">
        <f>SUMIF(#REF!,D36,#REF!)</f>
        <v>#REF!</v>
      </c>
      <c r="J36" s="9" t="e">
        <f t="shared" si="0"/>
        <v>#REF!</v>
      </c>
    </row>
    <row r="37" spans="1:10" s="8" customFormat="1" ht="15.75" x14ac:dyDescent="0.25">
      <c r="A37" s="7">
        <f t="shared" si="1"/>
        <v>33</v>
      </c>
      <c r="B37" s="4" t="s">
        <v>73</v>
      </c>
      <c r="C37" s="4" t="s">
        <v>74</v>
      </c>
      <c r="D37" s="4" t="s">
        <v>75</v>
      </c>
      <c r="E37" s="7" t="s">
        <v>11</v>
      </c>
      <c r="F37" s="25" t="e">
        <f>SUMIF(#REF!,D37,#REF!)</f>
        <v>#REF!</v>
      </c>
      <c r="G37" s="35"/>
      <c r="H37" s="25" t="e">
        <f>SUMIF(#REF!,D37,#REF!)</f>
        <v>#REF!</v>
      </c>
      <c r="I37" s="25" t="e">
        <f>SUMIF(#REF!,D37,#REF!)</f>
        <v>#REF!</v>
      </c>
      <c r="J37" s="9" t="e">
        <f t="shared" si="0"/>
        <v>#REF!</v>
      </c>
    </row>
    <row r="38" spans="1:10" s="8" customFormat="1" ht="15.75" x14ac:dyDescent="0.25">
      <c r="A38" s="7">
        <f t="shared" si="1"/>
        <v>34</v>
      </c>
      <c r="B38" s="4"/>
      <c r="C38" s="4" t="s">
        <v>76</v>
      </c>
      <c r="D38" s="4" t="s">
        <v>77</v>
      </c>
      <c r="E38" s="7" t="s">
        <v>14</v>
      </c>
      <c r="F38" s="25" t="e">
        <f>SUMIF(#REF!,D38,#REF!)</f>
        <v>#REF!</v>
      </c>
      <c r="G38" s="35"/>
      <c r="H38" s="25" t="e">
        <f>SUMIF(#REF!,D38,#REF!)</f>
        <v>#REF!</v>
      </c>
      <c r="I38" s="25" t="e">
        <f>SUMIF(#REF!,D38,#REF!)</f>
        <v>#REF!</v>
      </c>
      <c r="J38" s="9" t="e">
        <f t="shared" si="0"/>
        <v>#REF!</v>
      </c>
    </row>
    <row r="39" spans="1:10" s="8" customFormat="1" ht="15.75" x14ac:dyDescent="0.25">
      <c r="A39" s="7">
        <f t="shared" si="1"/>
        <v>35</v>
      </c>
      <c r="B39" s="4"/>
      <c r="C39" s="4" t="s">
        <v>76</v>
      </c>
      <c r="D39" s="4" t="s">
        <v>78</v>
      </c>
      <c r="E39" s="7" t="s">
        <v>14</v>
      </c>
      <c r="F39" s="25" t="e">
        <f>SUMIF(#REF!,D39,#REF!)</f>
        <v>#REF!</v>
      </c>
      <c r="G39" s="35"/>
      <c r="H39" s="25" t="e">
        <f>SUMIF(#REF!,D39,#REF!)</f>
        <v>#REF!</v>
      </c>
      <c r="I39" s="25" t="e">
        <f>SUMIF(#REF!,D39,#REF!)</f>
        <v>#REF!</v>
      </c>
      <c r="J39" s="9" t="e">
        <f t="shared" si="0"/>
        <v>#REF!</v>
      </c>
    </row>
    <row r="40" spans="1:10" s="8" customFormat="1" ht="15.75" x14ac:dyDescent="0.25">
      <c r="A40" s="7">
        <f t="shared" si="1"/>
        <v>36</v>
      </c>
      <c r="B40" s="4"/>
      <c r="C40" s="4" t="s">
        <v>79</v>
      </c>
      <c r="D40" s="4" t="s">
        <v>80</v>
      </c>
      <c r="E40" s="7" t="s">
        <v>14</v>
      </c>
      <c r="F40" s="25" t="e">
        <f>SUMIF(#REF!,D40,#REF!)</f>
        <v>#REF!</v>
      </c>
      <c r="G40" s="35"/>
      <c r="H40" s="25" t="e">
        <f>SUMIF(#REF!,D40,#REF!)</f>
        <v>#REF!</v>
      </c>
      <c r="I40" s="25" t="e">
        <f>SUMIF(#REF!,D40,#REF!)</f>
        <v>#REF!</v>
      </c>
      <c r="J40" s="9" t="e">
        <f t="shared" si="0"/>
        <v>#REF!</v>
      </c>
    </row>
    <row r="41" spans="1:10" s="8" customFormat="1" ht="15.75" x14ac:dyDescent="0.25">
      <c r="A41" s="7">
        <f t="shared" si="1"/>
        <v>37</v>
      </c>
      <c r="B41" s="4"/>
      <c r="C41" s="4" t="s">
        <v>79</v>
      </c>
      <c r="D41" s="4" t="s">
        <v>81</v>
      </c>
      <c r="E41" s="7" t="s">
        <v>7</v>
      </c>
      <c r="F41" s="25" t="e">
        <f>SUMIF(#REF!,D41,#REF!)</f>
        <v>#REF!</v>
      </c>
      <c r="G41" s="35"/>
      <c r="H41" s="25" t="e">
        <f>SUMIF(#REF!,D41,#REF!)</f>
        <v>#REF!</v>
      </c>
      <c r="I41" s="25" t="e">
        <f>SUMIF(#REF!,D41,#REF!)</f>
        <v>#REF!</v>
      </c>
      <c r="J41" s="9" t="e">
        <f t="shared" si="0"/>
        <v>#REF!</v>
      </c>
    </row>
    <row r="42" spans="1:10" s="8" customFormat="1" ht="15.75" x14ac:dyDescent="0.25">
      <c r="A42" s="7">
        <f t="shared" si="1"/>
        <v>38</v>
      </c>
      <c r="B42" s="4" t="s">
        <v>82</v>
      </c>
      <c r="C42" s="4" t="s">
        <v>83</v>
      </c>
      <c r="D42" s="4" t="s">
        <v>84</v>
      </c>
      <c r="E42" s="7" t="s">
        <v>14</v>
      </c>
      <c r="F42" s="25" t="e">
        <f>SUMIF(#REF!,D42,#REF!)</f>
        <v>#REF!</v>
      </c>
      <c r="G42" s="35"/>
      <c r="H42" s="25" t="e">
        <f>SUMIF(#REF!,D42,#REF!)</f>
        <v>#REF!</v>
      </c>
      <c r="I42" s="25" t="e">
        <f>SUMIF(#REF!,D42,#REF!)</f>
        <v>#REF!</v>
      </c>
      <c r="J42" s="9" t="e">
        <f t="shared" si="0"/>
        <v>#REF!</v>
      </c>
    </row>
    <row r="43" spans="1:10" s="8" customFormat="1" ht="15.75" x14ac:dyDescent="0.25">
      <c r="A43" s="7">
        <f t="shared" si="1"/>
        <v>39</v>
      </c>
      <c r="B43" s="4" t="s">
        <v>85</v>
      </c>
      <c r="C43" s="4" t="s">
        <v>86</v>
      </c>
      <c r="D43" s="4" t="s">
        <v>87</v>
      </c>
      <c r="E43" s="7" t="s">
        <v>14</v>
      </c>
      <c r="F43" s="25" t="e">
        <f>SUMIF(#REF!,D43,#REF!)</f>
        <v>#REF!</v>
      </c>
      <c r="G43" s="35"/>
      <c r="H43" s="25" t="e">
        <f>SUMIF(#REF!,D43,#REF!)</f>
        <v>#REF!</v>
      </c>
      <c r="I43" s="25" t="e">
        <f>SUMIF(#REF!,D43,#REF!)</f>
        <v>#REF!</v>
      </c>
      <c r="J43" s="9" t="e">
        <f t="shared" si="0"/>
        <v>#REF!</v>
      </c>
    </row>
    <row r="44" spans="1:10" s="8" customFormat="1" ht="15.75" x14ac:dyDescent="0.25">
      <c r="A44" s="7">
        <f t="shared" si="1"/>
        <v>40</v>
      </c>
      <c r="B44" s="4"/>
      <c r="C44" s="4" t="s">
        <v>88</v>
      </c>
      <c r="D44" s="4" t="s">
        <v>89</v>
      </c>
      <c r="E44" s="7" t="s">
        <v>14</v>
      </c>
      <c r="F44" s="25" t="e">
        <f>SUMIF(#REF!,D44,#REF!)</f>
        <v>#REF!</v>
      </c>
      <c r="G44" s="35"/>
      <c r="H44" s="25" t="e">
        <f>SUMIF(#REF!,D44,#REF!)</f>
        <v>#REF!</v>
      </c>
      <c r="I44" s="25" t="e">
        <f>SUMIF(#REF!,D44,#REF!)</f>
        <v>#REF!</v>
      </c>
      <c r="J44" s="9" t="e">
        <f t="shared" si="0"/>
        <v>#REF!</v>
      </c>
    </row>
    <row r="45" spans="1:10" s="8" customFormat="1" ht="15.75" x14ac:dyDescent="0.25">
      <c r="A45" s="7">
        <f t="shared" si="1"/>
        <v>41</v>
      </c>
      <c r="B45" s="4"/>
      <c r="C45" s="4" t="s">
        <v>90</v>
      </c>
      <c r="D45" s="4" t="s">
        <v>91</v>
      </c>
      <c r="E45" s="7" t="s">
        <v>14</v>
      </c>
      <c r="F45" s="25" t="e">
        <f>SUMIF(#REF!,D45,#REF!)</f>
        <v>#REF!</v>
      </c>
      <c r="G45" s="35"/>
      <c r="H45" s="25" t="e">
        <f>SUMIF(#REF!,D45,#REF!)</f>
        <v>#REF!</v>
      </c>
      <c r="I45" s="25" t="e">
        <f>SUMIF(#REF!,D45,#REF!)</f>
        <v>#REF!</v>
      </c>
      <c r="J45" s="9" t="e">
        <f t="shared" si="0"/>
        <v>#REF!</v>
      </c>
    </row>
    <row r="46" spans="1:10" s="8" customFormat="1" ht="15.75" x14ac:dyDescent="0.25">
      <c r="A46" s="7">
        <f t="shared" si="1"/>
        <v>42</v>
      </c>
      <c r="B46" s="4"/>
      <c r="C46" s="4" t="s">
        <v>92</v>
      </c>
      <c r="D46" s="4" t="s">
        <v>93</v>
      </c>
      <c r="E46" s="7" t="s">
        <v>14</v>
      </c>
      <c r="F46" s="25" t="e">
        <f>SUMIF(#REF!,D46,#REF!)</f>
        <v>#REF!</v>
      </c>
      <c r="G46" s="35"/>
      <c r="H46" s="25" t="e">
        <f>SUMIF(#REF!,D46,#REF!)</f>
        <v>#REF!</v>
      </c>
      <c r="I46" s="25" t="e">
        <f>SUMIF(#REF!,D46,#REF!)</f>
        <v>#REF!</v>
      </c>
      <c r="J46" s="9" t="e">
        <f t="shared" si="0"/>
        <v>#REF!</v>
      </c>
    </row>
    <row r="47" spans="1:10" s="8" customFormat="1" ht="15.75" x14ac:dyDescent="0.25">
      <c r="A47" s="7">
        <f t="shared" si="1"/>
        <v>43</v>
      </c>
      <c r="B47" s="4" t="s">
        <v>94</v>
      </c>
      <c r="C47" s="4" t="s">
        <v>95</v>
      </c>
      <c r="D47" s="4" t="s">
        <v>96</v>
      </c>
      <c r="E47" s="7" t="s">
        <v>14</v>
      </c>
      <c r="F47" s="25" t="e">
        <f>SUMIF(#REF!,D47,#REF!)</f>
        <v>#REF!</v>
      </c>
      <c r="G47" s="35"/>
      <c r="H47" s="25" t="e">
        <f>SUMIF(#REF!,D47,#REF!)</f>
        <v>#REF!</v>
      </c>
      <c r="I47" s="25" t="e">
        <f>SUMIF(#REF!,D47,#REF!)</f>
        <v>#REF!</v>
      </c>
      <c r="J47" s="9" t="e">
        <f t="shared" si="0"/>
        <v>#REF!</v>
      </c>
    </row>
    <row r="48" spans="1:10" s="8" customFormat="1" ht="15.75" x14ac:dyDescent="0.25">
      <c r="A48" s="7">
        <f t="shared" si="1"/>
        <v>44</v>
      </c>
      <c r="B48" s="4"/>
      <c r="C48" s="4" t="s">
        <v>97</v>
      </c>
      <c r="D48" s="4" t="s">
        <v>98</v>
      </c>
      <c r="E48" s="7" t="s">
        <v>14</v>
      </c>
      <c r="F48" s="25" t="e">
        <f>SUMIF(#REF!,D48,#REF!)</f>
        <v>#REF!</v>
      </c>
      <c r="G48" s="35"/>
      <c r="H48" s="25" t="e">
        <f>SUMIF(#REF!,D48,#REF!)</f>
        <v>#REF!</v>
      </c>
      <c r="I48" s="25" t="e">
        <f>SUMIF(#REF!,D48,#REF!)</f>
        <v>#REF!</v>
      </c>
      <c r="J48" s="9" t="e">
        <f t="shared" si="0"/>
        <v>#REF!</v>
      </c>
    </row>
    <row r="49" spans="1:10" s="8" customFormat="1" ht="15.75" x14ac:dyDescent="0.25">
      <c r="A49" s="7">
        <f t="shared" si="1"/>
        <v>45</v>
      </c>
      <c r="B49" s="4" t="s">
        <v>99</v>
      </c>
      <c r="C49" s="4" t="s">
        <v>97</v>
      </c>
      <c r="D49" s="4" t="s">
        <v>100</v>
      </c>
      <c r="E49" s="7" t="s">
        <v>14</v>
      </c>
      <c r="F49" s="25" t="e">
        <f>SUMIF(#REF!,D49,#REF!)</f>
        <v>#REF!</v>
      </c>
      <c r="G49" s="35"/>
      <c r="H49" s="25" t="e">
        <f>SUMIF(#REF!,D49,#REF!)</f>
        <v>#REF!</v>
      </c>
      <c r="I49" s="25" t="e">
        <f>SUMIF(#REF!,D49,#REF!)</f>
        <v>#REF!</v>
      </c>
      <c r="J49" s="9" t="e">
        <f t="shared" si="0"/>
        <v>#REF!</v>
      </c>
    </row>
    <row r="50" spans="1:10" s="8" customFormat="1" ht="15.75" x14ac:dyDescent="0.25">
      <c r="A50" s="7">
        <f t="shared" si="1"/>
        <v>46</v>
      </c>
      <c r="B50" s="4" t="s">
        <v>101</v>
      </c>
      <c r="C50" s="4" t="s">
        <v>102</v>
      </c>
      <c r="D50" s="4" t="s">
        <v>103</v>
      </c>
      <c r="E50" s="7" t="s">
        <v>11</v>
      </c>
      <c r="F50" s="25" t="e">
        <f>SUMIF(#REF!,D50,#REF!)</f>
        <v>#REF!</v>
      </c>
      <c r="G50" s="35"/>
      <c r="H50" s="25" t="e">
        <f>SUMIF(#REF!,D50,#REF!)</f>
        <v>#REF!</v>
      </c>
      <c r="I50" s="25" t="e">
        <f>SUMIF(#REF!,D50,#REF!)</f>
        <v>#REF!</v>
      </c>
      <c r="J50" s="9" t="e">
        <f t="shared" si="0"/>
        <v>#REF!</v>
      </c>
    </row>
    <row r="51" spans="1:10" s="8" customFormat="1" ht="15.75" x14ac:dyDescent="0.25">
      <c r="A51" s="7">
        <f t="shared" si="1"/>
        <v>47</v>
      </c>
      <c r="B51" s="4" t="s">
        <v>104</v>
      </c>
      <c r="C51" s="4" t="s">
        <v>105</v>
      </c>
      <c r="D51" s="4" t="s">
        <v>106</v>
      </c>
      <c r="E51" s="7" t="s">
        <v>11</v>
      </c>
      <c r="F51" s="25" t="e">
        <f>SUMIF(#REF!,D51,#REF!)</f>
        <v>#REF!</v>
      </c>
      <c r="G51" s="35"/>
      <c r="H51" s="25" t="e">
        <f>SUMIF(#REF!,D51,#REF!)</f>
        <v>#REF!</v>
      </c>
      <c r="I51" s="25" t="e">
        <f>SUMIF(#REF!,D51,#REF!)</f>
        <v>#REF!</v>
      </c>
      <c r="J51" s="9" t="e">
        <f t="shared" si="0"/>
        <v>#REF!</v>
      </c>
    </row>
    <row r="52" spans="1:10" s="8" customFormat="1" ht="15.75" x14ac:dyDescent="0.25">
      <c r="A52" s="7">
        <f t="shared" si="1"/>
        <v>48</v>
      </c>
      <c r="B52" s="4" t="s">
        <v>107</v>
      </c>
      <c r="C52" s="4" t="s">
        <v>105</v>
      </c>
      <c r="D52" s="4" t="s">
        <v>108</v>
      </c>
      <c r="E52" s="7" t="s">
        <v>11</v>
      </c>
      <c r="F52" s="25" t="e">
        <f>SUMIF(#REF!,D52,#REF!)</f>
        <v>#REF!</v>
      </c>
      <c r="G52" s="35"/>
      <c r="H52" s="25" t="e">
        <f>SUMIF(#REF!,D52,#REF!)</f>
        <v>#REF!</v>
      </c>
      <c r="I52" s="25" t="e">
        <f>SUMIF(#REF!,D52,#REF!)</f>
        <v>#REF!</v>
      </c>
      <c r="J52" s="9" t="e">
        <f t="shared" si="0"/>
        <v>#REF!</v>
      </c>
    </row>
    <row r="53" spans="1:10" s="8" customFormat="1" ht="15.75" x14ac:dyDescent="0.25">
      <c r="A53" s="7">
        <f t="shared" si="1"/>
        <v>49</v>
      </c>
      <c r="B53" s="4"/>
      <c r="C53" s="4" t="s">
        <v>109</v>
      </c>
      <c r="D53" s="4" t="s">
        <v>110</v>
      </c>
      <c r="E53" s="7" t="s">
        <v>14</v>
      </c>
      <c r="F53" s="25" t="e">
        <f>SUMIF(#REF!,D53,#REF!)</f>
        <v>#REF!</v>
      </c>
      <c r="G53" s="35"/>
      <c r="H53" s="25" t="e">
        <f>SUMIF(#REF!,D53,#REF!)</f>
        <v>#REF!</v>
      </c>
      <c r="I53" s="25" t="e">
        <f>SUMIF(#REF!,D53,#REF!)</f>
        <v>#REF!</v>
      </c>
      <c r="J53" s="9" t="e">
        <f t="shared" si="0"/>
        <v>#REF!</v>
      </c>
    </row>
    <row r="54" spans="1:10" s="8" customFormat="1" ht="15.75" x14ac:dyDescent="0.25">
      <c r="A54" s="7">
        <f t="shared" si="1"/>
        <v>50</v>
      </c>
      <c r="B54" s="4"/>
      <c r="C54" s="4" t="s">
        <v>111</v>
      </c>
      <c r="D54" s="4" t="s">
        <v>112</v>
      </c>
      <c r="E54" s="7" t="s">
        <v>14</v>
      </c>
      <c r="F54" s="25" t="e">
        <f>SUMIF(#REF!,D54,#REF!)</f>
        <v>#REF!</v>
      </c>
      <c r="G54" s="35"/>
      <c r="H54" s="25" t="e">
        <f>SUMIF(#REF!,D54,#REF!)</f>
        <v>#REF!</v>
      </c>
      <c r="I54" s="25" t="e">
        <f>SUMIF(#REF!,D54,#REF!)</f>
        <v>#REF!</v>
      </c>
      <c r="J54" s="9" t="e">
        <f t="shared" si="0"/>
        <v>#REF!</v>
      </c>
    </row>
    <row r="55" spans="1:10" s="8" customFormat="1" ht="15.75" x14ac:dyDescent="0.25">
      <c r="A55" s="7">
        <f t="shared" si="1"/>
        <v>51</v>
      </c>
      <c r="B55" s="4"/>
      <c r="C55" s="4" t="s">
        <v>113</v>
      </c>
      <c r="D55" s="4" t="s">
        <v>114</v>
      </c>
      <c r="E55" s="7" t="s">
        <v>11</v>
      </c>
      <c r="F55" s="25" t="e">
        <f>SUMIF(#REF!,D55,#REF!)</f>
        <v>#REF!</v>
      </c>
      <c r="G55" s="35"/>
      <c r="H55" s="25" t="e">
        <f>SUMIF(#REF!,D55,#REF!)</f>
        <v>#REF!</v>
      </c>
      <c r="I55" s="25" t="e">
        <f>SUMIF(#REF!,D55,#REF!)</f>
        <v>#REF!</v>
      </c>
      <c r="J55" s="9" t="e">
        <f t="shared" si="0"/>
        <v>#REF!</v>
      </c>
    </row>
    <row r="56" spans="1:10" s="8" customFormat="1" ht="15.75" x14ac:dyDescent="0.25">
      <c r="A56" s="7">
        <f t="shared" si="1"/>
        <v>52</v>
      </c>
      <c r="B56" s="4"/>
      <c r="C56" s="4" t="s">
        <v>113</v>
      </c>
      <c r="D56" s="4" t="s">
        <v>115</v>
      </c>
      <c r="E56" s="7" t="s">
        <v>11</v>
      </c>
      <c r="F56" s="25" t="e">
        <f>SUMIF(#REF!,D56,#REF!)</f>
        <v>#REF!</v>
      </c>
      <c r="G56" s="35"/>
      <c r="H56" s="25" t="e">
        <f>SUMIF(#REF!,D56,#REF!)</f>
        <v>#REF!</v>
      </c>
      <c r="I56" s="25" t="e">
        <f>SUMIF(#REF!,D56,#REF!)</f>
        <v>#REF!</v>
      </c>
      <c r="J56" s="9" t="e">
        <f t="shared" si="0"/>
        <v>#REF!</v>
      </c>
    </row>
    <row r="57" spans="1:10" s="8" customFormat="1" ht="15.75" x14ac:dyDescent="0.25">
      <c r="A57" s="7">
        <f t="shared" si="1"/>
        <v>53</v>
      </c>
      <c r="B57" s="4" t="s">
        <v>116</v>
      </c>
      <c r="C57" s="4" t="s">
        <v>117</v>
      </c>
      <c r="D57" s="4" t="s">
        <v>118</v>
      </c>
      <c r="E57" s="7" t="s">
        <v>11</v>
      </c>
      <c r="F57" s="25" t="e">
        <f>SUMIF(#REF!,D57,#REF!)</f>
        <v>#REF!</v>
      </c>
      <c r="G57" s="35"/>
      <c r="H57" s="25" t="e">
        <f>SUMIF(#REF!,D57,#REF!)</f>
        <v>#REF!</v>
      </c>
      <c r="I57" s="25" t="e">
        <f>SUMIF(#REF!,D57,#REF!)</f>
        <v>#REF!</v>
      </c>
      <c r="J57" s="9" t="e">
        <f t="shared" si="0"/>
        <v>#REF!</v>
      </c>
    </row>
    <row r="58" spans="1:10" s="8" customFormat="1" ht="15.75" x14ac:dyDescent="0.25">
      <c r="A58"/>
      <c r="B58" s="5"/>
      <c r="C58" s="5"/>
      <c r="D58" s="5"/>
      <c r="F58" s="26"/>
      <c r="G58" s="36"/>
      <c r="H58" s="26"/>
      <c r="I58" s="26"/>
    </row>
    <row r="59" spans="1:10" s="17" customFormat="1" ht="15.75" x14ac:dyDescent="0.25">
      <c r="A59" s="28"/>
      <c r="B59" s="29"/>
      <c r="C59" s="29"/>
      <c r="D59" s="30" t="s">
        <v>4</v>
      </c>
      <c r="E59" s="31"/>
      <c r="F59" s="32" t="e">
        <f t="shared" ref="F59:H59" si="2">SUM(F5:F57)</f>
        <v>#REF!</v>
      </c>
      <c r="G59" s="37"/>
      <c r="H59" s="32" t="e">
        <f t="shared" si="2"/>
        <v>#REF!</v>
      </c>
      <c r="I59" s="32" t="e">
        <f t="shared" ref="I59:J59" si="3">SUM(I5:I57)</f>
        <v>#REF!</v>
      </c>
      <c r="J59" s="32" t="e">
        <f t="shared" si="3"/>
        <v>#REF!</v>
      </c>
    </row>
    <row r="60" spans="1:10" s="8" customFormat="1" ht="15.75" x14ac:dyDescent="0.25">
      <c r="A60"/>
      <c r="B60" s="5"/>
      <c r="C60" s="5"/>
      <c r="D60" s="5"/>
      <c r="F60" s="27"/>
      <c r="G60" s="38"/>
      <c r="H60" s="27"/>
      <c r="I60" s="27"/>
    </row>
    <row r="61" spans="1:10" s="8" customFormat="1" ht="15.75" x14ac:dyDescent="0.25">
      <c r="A61"/>
      <c r="B61" s="5"/>
      <c r="C61" s="5"/>
      <c r="D61" s="5" t="s">
        <v>130</v>
      </c>
      <c r="F61" s="27" t="e">
        <f>#REF!</f>
        <v>#REF!</v>
      </c>
      <c r="G61" s="38"/>
      <c r="H61" s="27" t="e">
        <f>#REF!</f>
        <v>#REF!</v>
      </c>
      <c r="I61" s="27" t="e">
        <f>#REF!</f>
        <v>#REF!</v>
      </c>
    </row>
    <row r="62" spans="1:10" s="8" customFormat="1" ht="15.75" x14ac:dyDescent="0.25">
      <c r="A62"/>
      <c r="B62" s="5"/>
      <c r="C62" s="5"/>
      <c r="D62" s="5" t="s">
        <v>119</v>
      </c>
      <c r="F62" s="15" t="e">
        <f>F59-F61</f>
        <v>#REF!</v>
      </c>
      <c r="G62" s="35"/>
      <c r="H62" s="15" t="e">
        <f t="shared" ref="H62:I62" si="4">H59-H61</f>
        <v>#REF!</v>
      </c>
      <c r="I62" s="15" t="e">
        <f t="shared" si="4"/>
        <v>#REF!</v>
      </c>
      <c r="J62" s="15"/>
    </row>
    <row r="63" spans="1:10" s="8" customFormat="1" ht="15.75" x14ac:dyDescent="0.25">
      <c r="A63"/>
      <c r="B63" s="5"/>
      <c r="C63" s="5"/>
      <c r="D63" s="5"/>
      <c r="F63" s="15"/>
      <c r="G63" s="35"/>
      <c r="H63" s="15"/>
      <c r="I63" s="15"/>
    </row>
    <row r="64" spans="1:10" s="8" customFormat="1" ht="15.75" x14ac:dyDescent="0.25">
      <c r="A64"/>
      <c r="B64" s="5"/>
      <c r="C64" s="5"/>
      <c r="D64" s="13"/>
      <c r="E64" s="14"/>
      <c r="F64" s="15"/>
      <c r="G64" s="35"/>
      <c r="H64" s="15"/>
      <c r="I64" s="15"/>
    </row>
    <row r="65" spans="1:9" s="8" customFormat="1" ht="15.75" x14ac:dyDescent="0.25">
      <c r="A65"/>
      <c r="B65" s="5"/>
      <c r="C65" s="5"/>
      <c r="D65" s="13"/>
      <c r="E65" s="14"/>
      <c r="F65" s="27"/>
      <c r="G65" s="38"/>
      <c r="H65" s="27"/>
      <c r="I65" s="27"/>
    </row>
    <row r="66" spans="1:9" s="8" customFormat="1" ht="15.75" x14ac:dyDescent="0.25">
      <c r="A66"/>
      <c r="B66" s="5"/>
      <c r="C66" s="5"/>
      <c r="D66" s="13"/>
      <c r="E66" s="14"/>
      <c r="F66" s="15"/>
      <c r="G66" s="35"/>
      <c r="H66" s="15"/>
      <c r="I66" s="15"/>
    </row>
    <row r="67" spans="1:9" s="8" customFormat="1" ht="15.75" x14ac:dyDescent="0.25">
      <c r="A67"/>
      <c r="B67" s="5"/>
      <c r="C67" s="5"/>
      <c r="D67" s="13"/>
      <c r="E67" s="14"/>
      <c r="F67" s="15"/>
      <c r="G67" s="35"/>
      <c r="H67" s="15"/>
      <c r="I67" s="15"/>
    </row>
    <row r="68" spans="1:9" s="8" customFormat="1" ht="15.75" x14ac:dyDescent="0.25">
      <c r="A68"/>
      <c r="B68" s="5"/>
      <c r="C68" s="5"/>
      <c r="D68" s="13"/>
      <c r="E68" s="14"/>
      <c r="F68" s="15"/>
      <c r="G68" s="35"/>
      <c r="H68" s="15"/>
      <c r="I68" s="15"/>
    </row>
    <row r="69" spans="1:9" s="8" customFormat="1" ht="15.75" x14ac:dyDescent="0.25">
      <c r="A69"/>
      <c r="B69" s="5"/>
      <c r="C69" s="5"/>
      <c r="D69" s="13"/>
      <c r="E69" s="14"/>
      <c r="F69" s="15"/>
      <c r="G69" s="35"/>
      <c r="H69" s="15"/>
      <c r="I69" s="15"/>
    </row>
    <row r="70" spans="1:9" s="8" customFormat="1" ht="15.75" x14ac:dyDescent="0.25">
      <c r="A70"/>
      <c r="B70" s="5"/>
      <c r="C70" s="5"/>
      <c r="D70" s="13"/>
      <c r="E70" s="14"/>
      <c r="F70" s="15"/>
      <c r="G70" s="35"/>
      <c r="H70" s="15"/>
      <c r="I70" s="15"/>
    </row>
    <row r="71" spans="1:9" s="8" customFormat="1" ht="15.75" x14ac:dyDescent="0.25">
      <c r="A71"/>
      <c r="B71" s="5"/>
      <c r="C71" s="5"/>
      <c r="D71" s="13"/>
      <c r="E71" s="14"/>
      <c r="F71" s="15"/>
      <c r="G71" s="35"/>
      <c r="H71" s="15"/>
      <c r="I71" s="15"/>
    </row>
    <row r="72" spans="1:9" s="8" customFormat="1" ht="15.75" x14ac:dyDescent="0.25">
      <c r="A72"/>
      <c r="B72" s="5"/>
      <c r="C72" s="5"/>
      <c r="D72" s="13"/>
      <c r="E72" s="14"/>
      <c r="F72" s="15"/>
      <c r="G72" s="35"/>
      <c r="H72" s="15"/>
      <c r="I72" s="15"/>
    </row>
    <row r="73" spans="1:9" s="8" customFormat="1" ht="15.75" x14ac:dyDescent="0.25">
      <c r="A73"/>
      <c r="B73" s="5"/>
      <c r="C73" s="5"/>
      <c r="D73" s="13"/>
      <c r="E73" s="14"/>
      <c r="F73" s="15"/>
      <c r="G73" s="35"/>
      <c r="H73" s="15"/>
      <c r="I73" s="15"/>
    </row>
    <row r="74" spans="1:9" s="8" customFormat="1" ht="15.75" x14ac:dyDescent="0.25">
      <c r="A74"/>
      <c r="B74" s="5"/>
      <c r="C74" s="5"/>
      <c r="D74" s="13"/>
      <c r="E74" s="14"/>
      <c r="F74" s="15"/>
      <c r="G74" s="35"/>
      <c r="H74" s="15"/>
      <c r="I74" s="15"/>
    </row>
    <row r="75" spans="1:9" s="8" customFormat="1" ht="15.75" x14ac:dyDescent="0.25">
      <c r="A75"/>
      <c r="B75" s="5"/>
      <c r="C75" s="5"/>
      <c r="D75" s="13"/>
      <c r="E75" s="14"/>
      <c r="F75" s="15"/>
      <c r="G75" s="35"/>
      <c r="H75" s="15"/>
      <c r="I75" s="15"/>
    </row>
    <row r="76" spans="1:9" s="8" customFormat="1" ht="15.75" x14ac:dyDescent="0.25">
      <c r="A76"/>
      <c r="B76" s="5"/>
      <c r="C76" s="5"/>
      <c r="D76" s="13"/>
      <c r="E76" s="14"/>
      <c r="F76" s="15"/>
      <c r="G76" s="35"/>
      <c r="H76" s="15"/>
      <c r="I76" s="15"/>
    </row>
    <row r="77" spans="1:9" s="8" customFormat="1" ht="15.75" x14ac:dyDescent="0.25">
      <c r="A77"/>
      <c r="B77" s="5"/>
      <c r="C77" s="5"/>
      <c r="D77" s="13"/>
      <c r="E77" s="14"/>
      <c r="F77" s="15"/>
      <c r="G77" s="35"/>
      <c r="H77" s="15"/>
      <c r="I77" s="15"/>
    </row>
    <row r="78" spans="1:9" s="8" customFormat="1" ht="15.75" x14ac:dyDescent="0.25">
      <c r="A78"/>
      <c r="B78" s="5"/>
      <c r="C78" s="5"/>
      <c r="D78" s="13"/>
      <c r="E78" s="14"/>
      <c r="F78" s="15"/>
      <c r="G78" s="35"/>
      <c r="H78" s="15"/>
      <c r="I78" s="15"/>
    </row>
    <row r="79" spans="1:9" s="8" customFormat="1" ht="15.75" x14ac:dyDescent="0.25">
      <c r="A79"/>
      <c r="B79" s="5"/>
      <c r="C79" s="5"/>
      <c r="D79" s="13"/>
      <c r="E79" s="14"/>
      <c r="F79" s="15"/>
      <c r="G79" s="35"/>
      <c r="H79" s="15"/>
      <c r="I79" s="15"/>
    </row>
    <row r="80" spans="1:9" s="8" customFormat="1" ht="15.75" x14ac:dyDescent="0.25">
      <c r="A80"/>
      <c r="B80" s="5"/>
      <c r="C80" s="5"/>
      <c r="D80" s="13"/>
      <c r="E80" s="14"/>
      <c r="F80" s="15"/>
      <c r="G80" s="35"/>
      <c r="H80" s="15"/>
      <c r="I80" s="15"/>
    </row>
    <row r="81" spans="1:9" s="8" customFormat="1" ht="15.75" x14ac:dyDescent="0.25">
      <c r="A81"/>
      <c r="B81" s="5"/>
      <c r="C81" s="5"/>
      <c r="D81" s="13"/>
      <c r="E81" s="14"/>
      <c r="F81" s="15"/>
      <c r="G81" s="35"/>
      <c r="H81" s="15"/>
      <c r="I81" s="15"/>
    </row>
    <row r="82" spans="1:9" s="8" customFormat="1" ht="15.75" x14ac:dyDescent="0.25">
      <c r="A82"/>
      <c r="B82" s="5"/>
      <c r="C82" s="5"/>
      <c r="D82" s="13"/>
      <c r="E82" s="14"/>
      <c r="F82" s="15"/>
      <c r="G82" s="35"/>
      <c r="H82" s="15"/>
      <c r="I82" s="15"/>
    </row>
    <row r="83" spans="1:9" s="8" customFormat="1" ht="15.75" x14ac:dyDescent="0.25">
      <c r="A83"/>
      <c r="B83" s="5"/>
      <c r="C83" s="5"/>
      <c r="D83" s="13"/>
      <c r="E83" s="14"/>
      <c r="F83" s="26"/>
      <c r="G83" s="36"/>
      <c r="H83" s="26"/>
      <c r="I83" s="26"/>
    </row>
    <row r="84" spans="1:9" s="8" customFormat="1" ht="15.75" x14ac:dyDescent="0.25">
      <c r="A84"/>
      <c r="B84" s="5"/>
      <c r="C84" s="5"/>
      <c r="D84" s="13"/>
      <c r="E84" s="14"/>
      <c r="F84" s="26"/>
      <c r="G84" s="36"/>
      <c r="H84" s="26"/>
      <c r="I84" s="26"/>
    </row>
    <row r="85" spans="1:9" s="8" customFormat="1" ht="15.75" x14ac:dyDescent="0.25">
      <c r="A85"/>
      <c r="B85" s="5"/>
      <c r="C85" s="5"/>
      <c r="D85" s="13"/>
      <c r="E85" s="14"/>
      <c r="F85" s="26"/>
      <c r="G85" s="36"/>
      <c r="H85" s="26"/>
      <c r="I85" s="26"/>
    </row>
    <row r="86" spans="1:9" s="8" customFormat="1" ht="15.75" x14ac:dyDescent="0.25">
      <c r="A86"/>
      <c r="B86" s="5"/>
      <c r="C86" s="5"/>
      <c r="D86" s="13"/>
      <c r="E86" s="14"/>
      <c r="F86" s="26"/>
      <c r="G86" s="36"/>
      <c r="H86" s="26"/>
      <c r="I86" s="26"/>
    </row>
    <row r="87" spans="1:9" s="8" customFormat="1" ht="15.75" x14ac:dyDescent="0.25">
      <c r="A87"/>
      <c r="B87" s="5"/>
      <c r="C87" s="5"/>
      <c r="D87" s="5"/>
      <c r="F87" s="26"/>
      <c r="G87" s="36"/>
      <c r="H87" s="26"/>
      <c r="I87" s="26"/>
    </row>
    <row r="88" spans="1:9" s="8" customFormat="1" ht="15.75" x14ac:dyDescent="0.25">
      <c r="A88"/>
      <c r="B88" s="5"/>
      <c r="C88" s="5"/>
      <c r="D88" s="5"/>
      <c r="F88" s="26"/>
      <c r="G88" s="36"/>
      <c r="H88" s="26"/>
      <c r="I88" s="26"/>
    </row>
    <row r="89" spans="1:9" s="8" customFormat="1" ht="15.75" x14ac:dyDescent="0.25">
      <c r="A89"/>
      <c r="B89" s="5"/>
      <c r="C89" s="5"/>
      <c r="D89" s="5"/>
      <c r="F89" s="26"/>
      <c r="G89" s="36"/>
      <c r="H89" s="26"/>
      <c r="I89" s="26"/>
    </row>
    <row r="90" spans="1:9" s="8" customFormat="1" ht="15.75" x14ac:dyDescent="0.25">
      <c r="A90"/>
      <c r="B90" s="5"/>
      <c r="C90" s="5"/>
      <c r="D90" s="5"/>
      <c r="F90" s="26"/>
      <c r="G90" s="36"/>
      <c r="H90" s="26"/>
      <c r="I90" s="26"/>
    </row>
    <row r="91" spans="1:9" s="8" customFormat="1" ht="15.75" x14ac:dyDescent="0.25">
      <c r="A91"/>
      <c r="B91" s="5"/>
      <c r="C91" s="5"/>
      <c r="D91" s="5"/>
      <c r="F91" s="26"/>
      <c r="G91" s="36"/>
      <c r="H91" s="26"/>
      <c r="I91" s="26"/>
    </row>
    <row r="92" spans="1:9" s="8" customFormat="1" ht="15.75" x14ac:dyDescent="0.25">
      <c r="A92"/>
      <c r="B92" s="5"/>
      <c r="C92" s="5"/>
      <c r="D92" s="5"/>
      <c r="F92" s="26"/>
      <c r="G92" s="36"/>
      <c r="H92" s="26"/>
      <c r="I92" s="26"/>
    </row>
    <row r="93" spans="1:9" s="8" customFormat="1" ht="15.75" x14ac:dyDescent="0.25">
      <c r="A93"/>
      <c r="B93" s="5"/>
      <c r="C93" s="5"/>
      <c r="D93" s="5"/>
      <c r="F93" s="26"/>
      <c r="G93" s="36"/>
      <c r="H93" s="26"/>
      <c r="I93" s="26"/>
    </row>
    <row r="94" spans="1:9" s="8" customFormat="1" ht="15.75" x14ac:dyDescent="0.25">
      <c r="A94"/>
      <c r="B94" s="5"/>
      <c r="C94" s="5"/>
      <c r="D94" s="5"/>
      <c r="F94" s="26"/>
      <c r="G94" s="36"/>
      <c r="H94" s="26"/>
      <c r="I94" s="26"/>
    </row>
    <row r="95" spans="1:9" s="8" customFormat="1" ht="15.75" x14ac:dyDescent="0.25">
      <c r="A95"/>
      <c r="B95" s="5"/>
      <c r="C95" s="5"/>
      <c r="D95" s="5"/>
      <c r="F95" s="26"/>
      <c r="G95" s="36"/>
      <c r="H95" s="26"/>
      <c r="I95" s="26"/>
    </row>
    <row r="96" spans="1:9" s="8" customFormat="1" ht="15.75" x14ac:dyDescent="0.25">
      <c r="A96"/>
      <c r="B96" s="5"/>
      <c r="C96" s="5"/>
      <c r="D96" s="5"/>
      <c r="F96" s="26"/>
      <c r="G96" s="36"/>
      <c r="H96" s="26"/>
      <c r="I96" s="26"/>
    </row>
    <row r="97" spans="1:9" s="8" customFormat="1" ht="15.75" x14ac:dyDescent="0.25">
      <c r="A97"/>
      <c r="B97" s="5"/>
      <c r="C97" s="5"/>
      <c r="D97" s="5"/>
      <c r="F97" s="26"/>
      <c r="G97" s="36"/>
      <c r="H97" s="26"/>
      <c r="I97" s="26"/>
    </row>
    <row r="98" spans="1:9" s="8" customFormat="1" ht="15.75" x14ac:dyDescent="0.25">
      <c r="A98"/>
      <c r="B98" s="5"/>
      <c r="C98" s="5"/>
      <c r="D98" s="5"/>
      <c r="F98" s="26"/>
      <c r="G98" s="36"/>
      <c r="H98" s="26"/>
      <c r="I98" s="26"/>
    </row>
    <row r="99" spans="1:9" s="8" customFormat="1" ht="15.75" x14ac:dyDescent="0.25">
      <c r="A99"/>
      <c r="B99" s="5"/>
      <c r="C99" s="5"/>
      <c r="D99" s="5"/>
      <c r="F99" s="26"/>
      <c r="G99" s="36"/>
      <c r="H99" s="26"/>
      <c r="I99" s="26"/>
    </row>
    <row r="100" spans="1:9" s="8" customFormat="1" ht="15.75" x14ac:dyDescent="0.25">
      <c r="A100"/>
      <c r="B100" s="5"/>
      <c r="C100" s="5"/>
      <c r="D100" s="5"/>
      <c r="F100" s="26"/>
      <c r="G100" s="36"/>
      <c r="H100" s="26"/>
      <c r="I100" s="26"/>
    </row>
    <row r="101" spans="1:9" s="8" customFormat="1" ht="15.75" x14ac:dyDescent="0.25">
      <c r="A101"/>
      <c r="B101" s="5"/>
      <c r="C101" s="5"/>
      <c r="D101" s="5"/>
      <c r="F101" s="26"/>
      <c r="G101" s="36"/>
      <c r="H101" s="26"/>
      <c r="I101" s="26"/>
    </row>
    <row r="102" spans="1:9" s="8" customFormat="1" ht="15.75" x14ac:dyDescent="0.25">
      <c r="A102"/>
      <c r="B102" s="5"/>
      <c r="C102" s="5"/>
      <c r="D102" s="5"/>
      <c r="F102" s="26"/>
      <c r="G102" s="36"/>
      <c r="H102" s="26"/>
      <c r="I102" s="26"/>
    </row>
    <row r="103" spans="1:9" s="8" customFormat="1" ht="15.75" x14ac:dyDescent="0.25">
      <c r="A103"/>
      <c r="B103" s="5"/>
      <c r="C103" s="5"/>
      <c r="D103" s="5"/>
      <c r="F103" s="26"/>
      <c r="G103" s="36"/>
      <c r="H103" s="26"/>
      <c r="I103" s="26"/>
    </row>
    <row r="104" spans="1:9" s="8" customFormat="1" ht="15.75" x14ac:dyDescent="0.25">
      <c r="A104"/>
      <c r="B104" s="5"/>
      <c r="C104" s="5"/>
      <c r="D104" s="5"/>
      <c r="F104" s="26"/>
      <c r="G104" s="36"/>
      <c r="H104" s="26"/>
      <c r="I104" s="26"/>
    </row>
    <row r="105" spans="1:9" s="8" customFormat="1" ht="15.75" x14ac:dyDescent="0.25">
      <c r="A105"/>
      <c r="B105" s="5"/>
      <c r="C105" s="5"/>
      <c r="D105" s="5"/>
      <c r="F105" s="26"/>
      <c r="G105" s="36"/>
      <c r="H105" s="26"/>
      <c r="I105" s="26"/>
    </row>
    <row r="106" spans="1:9" s="8" customFormat="1" ht="15.75" x14ac:dyDescent="0.25">
      <c r="A106"/>
      <c r="B106" s="5"/>
      <c r="C106" s="5"/>
      <c r="D106" s="5"/>
      <c r="F106" s="26"/>
      <c r="G106" s="36"/>
      <c r="H106" s="26"/>
      <c r="I106" s="26"/>
    </row>
    <row r="107" spans="1:9" s="8" customFormat="1" ht="15.75" x14ac:dyDescent="0.25">
      <c r="A107"/>
      <c r="B107" s="5"/>
      <c r="C107" s="5"/>
      <c r="D107" s="5"/>
      <c r="F107" s="26"/>
      <c r="G107" s="36"/>
      <c r="H107" s="26"/>
      <c r="I107" s="26"/>
    </row>
    <row r="108" spans="1:9" s="8" customFormat="1" ht="15.75" x14ac:dyDescent="0.25">
      <c r="A108"/>
      <c r="B108" s="5"/>
      <c r="C108" s="5"/>
      <c r="D108" s="5"/>
      <c r="F108" s="26"/>
      <c r="G108" s="36"/>
      <c r="H108" s="26"/>
      <c r="I108" s="26"/>
    </row>
    <row r="109" spans="1:9" s="8" customFormat="1" ht="15.75" x14ac:dyDescent="0.25">
      <c r="A109"/>
      <c r="B109" s="5"/>
      <c r="C109" s="5"/>
      <c r="D109" s="5"/>
      <c r="F109" s="26"/>
      <c r="G109" s="36"/>
      <c r="H109" s="26"/>
      <c r="I109" s="26"/>
    </row>
    <row r="110" spans="1:9" s="8" customFormat="1" ht="15.75" x14ac:dyDescent="0.25">
      <c r="A110"/>
      <c r="B110" s="5"/>
      <c r="C110" s="5"/>
      <c r="D110" s="5"/>
      <c r="F110" s="26"/>
      <c r="G110" s="36"/>
      <c r="H110" s="26"/>
      <c r="I110" s="26"/>
    </row>
    <row r="111" spans="1:9" s="8" customFormat="1" ht="15.75" x14ac:dyDescent="0.25">
      <c r="A111"/>
      <c r="B111" s="5"/>
      <c r="C111" s="5"/>
      <c r="D111" s="5"/>
      <c r="F111" s="26"/>
      <c r="G111" s="36"/>
      <c r="H111" s="26"/>
      <c r="I111" s="26"/>
    </row>
    <row r="112" spans="1:9" s="8" customFormat="1" ht="15.75" x14ac:dyDescent="0.25">
      <c r="A112"/>
      <c r="B112" s="5"/>
      <c r="C112" s="5"/>
      <c r="D112" s="5"/>
      <c r="F112" s="26"/>
      <c r="G112" s="36"/>
      <c r="H112" s="26"/>
      <c r="I112" s="26"/>
    </row>
    <row r="113" spans="1:9" s="8" customFormat="1" ht="15.75" x14ac:dyDescent="0.25">
      <c r="A113"/>
      <c r="B113" s="5"/>
      <c r="C113" s="5"/>
      <c r="D113" s="5"/>
      <c r="F113" s="26"/>
      <c r="G113" s="36"/>
      <c r="H113" s="26"/>
      <c r="I113" s="26"/>
    </row>
    <row r="114" spans="1:9" s="8" customFormat="1" ht="15.75" x14ac:dyDescent="0.25">
      <c r="A114"/>
      <c r="B114" s="5"/>
      <c r="C114" s="5"/>
      <c r="D114" s="5"/>
      <c r="F114" s="26"/>
      <c r="G114" s="36"/>
      <c r="H114" s="26"/>
      <c r="I114" s="26"/>
    </row>
    <row r="115" spans="1:9" s="8" customFormat="1" ht="15.75" x14ac:dyDescent="0.25">
      <c r="A115"/>
      <c r="B115" s="5"/>
      <c r="C115" s="5"/>
      <c r="D115" s="5"/>
      <c r="F115" s="26"/>
      <c r="G115" s="36"/>
      <c r="H115" s="26"/>
      <c r="I115" s="26"/>
    </row>
    <row r="116" spans="1:9" s="8" customFormat="1" ht="15.75" x14ac:dyDescent="0.25">
      <c r="A116"/>
      <c r="B116" s="5"/>
      <c r="C116" s="5"/>
      <c r="D116" s="5"/>
      <c r="F116" s="26"/>
      <c r="G116" s="36"/>
      <c r="H116" s="26"/>
      <c r="I116" s="26"/>
    </row>
    <row r="117" spans="1:9" s="8" customFormat="1" ht="15.75" x14ac:dyDescent="0.25">
      <c r="A117"/>
      <c r="B117" s="5"/>
      <c r="C117" s="5"/>
      <c r="D117" s="5"/>
      <c r="F117" s="26"/>
      <c r="G117" s="36"/>
      <c r="H117" s="26"/>
      <c r="I117" s="26"/>
    </row>
    <row r="118" spans="1:9" s="8" customFormat="1" ht="15.75" x14ac:dyDescent="0.25">
      <c r="A118"/>
      <c r="B118" s="5"/>
      <c r="C118" s="5"/>
      <c r="D118" s="5"/>
      <c r="F118" s="26"/>
      <c r="G118" s="36"/>
      <c r="H118" s="26"/>
      <c r="I118" s="26"/>
    </row>
    <row r="119" spans="1:9" s="8" customFormat="1" ht="15.75" x14ac:dyDescent="0.25">
      <c r="A119"/>
      <c r="B119" s="5"/>
      <c r="C119" s="5"/>
      <c r="D119" s="5"/>
      <c r="F119" s="26"/>
      <c r="G119" s="36"/>
      <c r="H119" s="26"/>
      <c r="I119" s="26"/>
    </row>
    <row r="120" spans="1:9" s="8" customFormat="1" ht="15.75" x14ac:dyDescent="0.25">
      <c r="A120"/>
      <c r="B120" s="5"/>
      <c r="C120" s="5"/>
      <c r="D120" s="5"/>
      <c r="F120" s="26"/>
      <c r="G120" s="36"/>
      <c r="H120" s="26"/>
      <c r="I120" s="26"/>
    </row>
    <row r="121" spans="1:9" s="8" customFormat="1" ht="15.75" x14ac:dyDescent="0.25">
      <c r="A121"/>
      <c r="B121" s="5"/>
      <c r="C121" s="5"/>
      <c r="D121" s="5"/>
      <c r="F121" s="26"/>
      <c r="G121" s="36"/>
      <c r="H121" s="26"/>
      <c r="I121" s="26"/>
    </row>
    <row r="122" spans="1:9" s="8" customFormat="1" ht="15.75" x14ac:dyDescent="0.25">
      <c r="A122"/>
      <c r="B122" s="5"/>
      <c r="C122" s="5"/>
      <c r="D122" s="5"/>
      <c r="F122" s="26"/>
      <c r="G122" s="36"/>
      <c r="H122" s="26"/>
      <c r="I122" s="26"/>
    </row>
    <row r="123" spans="1:9" s="8" customFormat="1" ht="15.75" x14ac:dyDescent="0.25">
      <c r="A123"/>
      <c r="B123" s="5"/>
      <c r="C123" s="5"/>
      <c r="D123" s="5"/>
      <c r="F123" s="26"/>
      <c r="G123" s="36"/>
      <c r="H123" s="26"/>
      <c r="I123" s="26"/>
    </row>
    <row r="124" spans="1:9" s="8" customFormat="1" ht="15.75" x14ac:dyDescent="0.25">
      <c r="A124"/>
      <c r="B124" s="5"/>
      <c r="C124" s="5"/>
      <c r="D124" s="5"/>
      <c r="F124" s="26"/>
      <c r="G124" s="36"/>
      <c r="H124" s="26"/>
      <c r="I124" s="26"/>
    </row>
    <row r="125" spans="1:9" s="8" customFormat="1" ht="15.75" x14ac:dyDescent="0.25">
      <c r="A125"/>
      <c r="B125" s="5"/>
      <c r="C125" s="5"/>
      <c r="D125" s="5"/>
      <c r="F125" s="26"/>
      <c r="G125" s="36"/>
      <c r="H125" s="26"/>
      <c r="I125" s="26"/>
    </row>
    <row r="126" spans="1:9" s="8" customFormat="1" ht="15.75" x14ac:dyDescent="0.25">
      <c r="A126"/>
      <c r="B126" s="5"/>
      <c r="C126" s="5"/>
      <c r="D126" s="5"/>
      <c r="F126" s="26"/>
      <c r="G126" s="36"/>
      <c r="H126" s="26"/>
      <c r="I126" s="26"/>
    </row>
    <row r="127" spans="1:9" s="8" customFormat="1" ht="15.75" x14ac:dyDescent="0.25">
      <c r="A127"/>
      <c r="B127" s="5"/>
      <c r="C127" s="5"/>
      <c r="D127" s="5"/>
      <c r="F127" s="26"/>
      <c r="G127" s="36"/>
      <c r="H127" s="26"/>
      <c r="I127" s="26"/>
    </row>
    <row r="128" spans="1:9" s="8" customFormat="1" ht="15.75" x14ac:dyDescent="0.25">
      <c r="A128"/>
      <c r="B128" s="5"/>
      <c r="C128" s="5"/>
      <c r="D128" s="5"/>
      <c r="F128" s="26"/>
      <c r="G128" s="36"/>
      <c r="H128" s="26"/>
      <c r="I128" s="26"/>
    </row>
    <row r="129" spans="1:9" s="8" customFormat="1" ht="15.75" x14ac:dyDescent="0.25">
      <c r="A129"/>
      <c r="B129" s="5"/>
      <c r="C129" s="5"/>
      <c r="D129" s="5"/>
      <c r="F129" s="26"/>
      <c r="G129" s="36"/>
      <c r="H129" s="26"/>
      <c r="I129" s="26"/>
    </row>
    <row r="130" spans="1:9" s="8" customFormat="1" ht="15.75" x14ac:dyDescent="0.25">
      <c r="A130"/>
      <c r="B130" s="5"/>
      <c r="C130" s="5"/>
      <c r="D130" s="5"/>
      <c r="F130" s="26"/>
      <c r="G130" s="36"/>
      <c r="H130" s="26"/>
      <c r="I130" s="26"/>
    </row>
    <row r="131" spans="1:9" s="8" customFormat="1" ht="15.75" x14ac:dyDescent="0.25">
      <c r="A131"/>
      <c r="B131" s="5"/>
      <c r="C131" s="5"/>
      <c r="D131" s="5"/>
      <c r="F131" s="26"/>
      <c r="G131" s="36"/>
      <c r="H131" s="26"/>
      <c r="I131" s="26"/>
    </row>
    <row r="132" spans="1:9" s="8" customFormat="1" ht="15.75" x14ac:dyDescent="0.25">
      <c r="A132"/>
      <c r="B132" s="5"/>
      <c r="C132" s="5"/>
      <c r="D132" s="5"/>
      <c r="F132" s="26"/>
      <c r="G132" s="36"/>
      <c r="H132" s="26"/>
      <c r="I132" s="26"/>
    </row>
    <row r="133" spans="1:9" s="8" customFormat="1" ht="15.75" x14ac:dyDescent="0.25">
      <c r="A133"/>
      <c r="B133" s="5"/>
      <c r="C133" s="5"/>
      <c r="D133" s="5"/>
      <c r="F133" s="26"/>
      <c r="G133" s="36"/>
      <c r="H133" s="26"/>
      <c r="I133" s="26"/>
    </row>
    <row r="134" spans="1:9" s="8" customFormat="1" ht="15.75" x14ac:dyDescent="0.25">
      <c r="A134"/>
      <c r="B134" s="5"/>
      <c r="C134" s="5"/>
      <c r="D134" s="5"/>
      <c r="F134" s="26"/>
      <c r="G134" s="36"/>
      <c r="H134" s="26"/>
      <c r="I134" s="26"/>
    </row>
    <row r="135" spans="1:9" s="8" customFormat="1" ht="15.75" x14ac:dyDescent="0.25">
      <c r="A135"/>
      <c r="B135" s="5"/>
      <c r="C135" s="5"/>
      <c r="D135" s="5"/>
      <c r="F135" s="26"/>
      <c r="G135" s="36"/>
      <c r="H135" s="26"/>
      <c r="I135" s="26"/>
    </row>
    <row r="136" spans="1:9" s="8" customFormat="1" ht="15.75" x14ac:dyDescent="0.25">
      <c r="A136"/>
      <c r="B136" s="5"/>
      <c r="C136" s="5"/>
      <c r="D136" s="5"/>
      <c r="F136" s="26"/>
      <c r="G136" s="36"/>
      <c r="H136" s="26"/>
      <c r="I136" s="26"/>
    </row>
    <row r="137" spans="1:9" s="8" customFormat="1" ht="15.75" x14ac:dyDescent="0.25">
      <c r="A137"/>
      <c r="B137" s="5"/>
      <c r="C137" s="5"/>
      <c r="D137" s="5"/>
      <c r="F137" s="26"/>
      <c r="G137" s="36"/>
      <c r="H137" s="26"/>
      <c r="I137" s="26"/>
    </row>
    <row r="138" spans="1:9" s="8" customFormat="1" ht="15.75" x14ac:dyDescent="0.25">
      <c r="A138"/>
      <c r="B138" s="5"/>
      <c r="C138" s="5"/>
      <c r="D138" s="5"/>
      <c r="F138" s="26"/>
      <c r="G138" s="36"/>
      <c r="H138" s="26"/>
      <c r="I138" s="26"/>
    </row>
    <row r="139" spans="1:9" s="8" customFormat="1" ht="15.75" x14ac:dyDescent="0.25">
      <c r="A139"/>
      <c r="B139" s="5"/>
      <c r="C139" s="5"/>
      <c r="D139" s="5"/>
      <c r="F139" s="26"/>
      <c r="G139" s="36"/>
      <c r="H139" s="26"/>
      <c r="I139" s="26"/>
    </row>
    <row r="140" spans="1:9" s="8" customFormat="1" ht="15.75" x14ac:dyDescent="0.25">
      <c r="A140"/>
      <c r="B140" s="5"/>
      <c r="C140" s="5"/>
      <c r="D140" s="5"/>
      <c r="F140" s="26"/>
      <c r="G140" s="36"/>
      <c r="H140" s="26"/>
      <c r="I140" s="26"/>
    </row>
    <row r="141" spans="1:9" s="8" customFormat="1" ht="15.75" x14ac:dyDescent="0.25">
      <c r="A141"/>
      <c r="B141" s="5"/>
      <c r="C141" s="5"/>
      <c r="D141" s="5"/>
      <c r="F141" s="26"/>
      <c r="G141" s="36"/>
      <c r="H141" s="26"/>
      <c r="I141" s="26"/>
    </row>
    <row r="142" spans="1:9" s="8" customFormat="1" ht="15.75" x14ac:dyDescent="0.25">
      <c r="A142"/>
      <c r="B142" s="5"/>
      <c r="C142" s="5"/>
      <c r="D142" s="5"/>
      <c r="F142" s="26"/>
      <c r="G142" s="36"/>
      <c r="H142" s="26"/>
      <c r="I142" s="26"/>
    </row>
    <row r="143" spans="1:9" s="8" customFormat="1" ht="15.75" x14ac:dyDescent="0.25">
      <c r="A143"/>
      <c r="B143" s="5"/>
      <c r="C143" s="5"/>
      <c r="D143" s="5"/>
      <c r="F143" s="26"/>
      <c r="G143" s="36"/>
      <c r="H143" s="26"/>
      <c r="I143" s="26"/>
    </row>
    <row r="144" spans="1:9" s="8" customFormat="1" ht="15.75" x14ac:dyDescent="0.25">
      <c r="A144"/>
      <c r="B144" s="5"/>
      <c r="C144" s="5"/>
      <c r="D144" s="5"/>
      <c r="F144" s="26"/>
      <c r="G144" s="36"/>
      <c r="H144" s="26"/>
      <c r="I144" s="26"/>
    </row>
    <row r="145" spans="1:9" s="8" customFormat="1" ht="15.75" x14ac:dyDescent="0.25">
      <c r="A145"/>
      <c r="B145" s="5"/>
      <c r="C145" s="5"/>
      <c r="D145" s="5"/>
      <c r="F145" s="26"/>
      <c r="G145" s="36"/>
      <c r="H145" s="26"/>
      <c r="I145" s="26"/>
    </row>
    <row r="146" spans="1:9" s="8" customFormat="1" ht="15.75" x14ac:dyDescent="0.25">
      <c r="A146"/>
      <c r="B146" s="5"/>
      <c r="C146" s="5"/>
      <c r="D146" s="5"/>
      <c r="F146" s="26"/>
      <c r="G146" s="36"/>
      <c r="H146" s="26"/>
      <c r="I146" s="26"/>
    </row>
    <row r="147" spans="1:9" s="8" customFormat="1" ht="15.75" x14ac:dyDescent="0.25">
      <c r="A147"/>
      <c r="B147" s="5"/>
      <c r="C147" s="5"/>
      <c r="D147" s="5"/>
      <c r="F147" s="26"/>
      <c r="G147" s="36"/>
      <c r="H147" s="26"/>
      <c r="I147" s="26"/>
    </row>
    <row r="148" spans="1:9" s="8" customFormat="1" ht="15.75" x14ac:dyDescent="0.25">
      <c r="A148"/>
      <c r="B148" s="5"/>
      <c r="C148" s="5"/>
      <c r="D148" s="5"/>
      <c r="F148" s="26"/>
      <c r="G148" s="36"/>
      <c r="H148" s="26"/>
      <c r="I148" s="26"/>
    </row>
    <row r="149" spans="1:9" s="8" customFormat="1" ht="15.75" x14ac:dyDescent="0.25">
      <c r="A149"/>
      <c r="B149" s="5"/>
      <c r="C149" s="5"/>
      <c r="D149" s="5"/>
      <c r="F149" s="26"/>
      <c r="G149" s="36"/>
      <c r="H149" s="26"/>
      <c r="I149" s="26"/>
    </row>
    <row r="150" spans="1:9" s="8" customFormat="1" ht="15.75" x14ac:dyDescent="0.25">
      <c r="A150"/>
      <c r="B150" s="5"/>
      <c r="C150" s="5"/>
      <c r="D150" s="5"/>
      <c r="F150" s="26"/>
      <c r="G150" s="36"/>
      <c r="H150" s="26"/>
      <c r="I150" s="26"/>
    </row>
    <row r="151" spans="1:9" s="8" customFormat="1" ht="15.75" x14ac:dyDescent="0.25">
      <c r="A151"/>
      <c r="B151" s="5"/>
      <c r="C151" s="5"/>
      <c r="D151" s="5"/>
      <c r="F151" s="26"/>
      <c r="G151" s="36"/>
      <c r="H151" s="26"/>
      <c r="I151" s="26"/>
    </row>
    <row r="152" spans="1:9" s="8" customFormat="1" ht="15.75" x14ac:dyDescent="0.25">
      <c r="A152"/>
      <c r="B152" s="5"/>
      <c r="C152" s="5"/>
      <c r="D152" s="5"/>
      <c r="F152" s="26"/>
      <c r="G152" s="36"/>
      <c r="H152" s="26"/>
      <c r="I152" s="26"/>
    </row>
    <row r="153" spans="1:9" s="8" customFormat="1" ht="15.75" x14ac:dyDescent="0.25">
      <c r="A153"/>
      <c r="B153" s="5"/>
      <c r="C153" s="5"/>
      <c r="D153" s="5"/>
      <c r="F153" s="26"/>
      <c r="G153" s="36"/>
      <c r="H153" s="26"/>
      <c r="I153" s="26"/>
    </row>
    <row r="154" spans="1:9" s="8" customFormat="1" ht="15.75" x14ac:dyDescent="0.25">
      <c r="A154"/>
      <c r="B154" s="5"/>
      <c r="C154" s="5"/>
      <c r="D154" s="5"/>
      <c r="F154" s="26"/>
      <c r="G154" s="36"/>
      <c r="H154" s="26"/>
      <c r="I154" s="26"/>
    </row>
    <row r="155" spans="1:9" s="8" customFormat="1" ht="15.75" x14ac:dyDescent="0.25">
      <c r="A155"/>
      <c r="B155" s="5"/>
      <c r="C155" s="5"/>
      <c r="D155" s="5"/>
      <c r="F155" s="26"/>
      <c r="G155" s="36"/>
      <c r="H155" s="26"/>
      <c r="I155" s="26"/>
    </row>
    <row r="156" spans="1:9" s="8" customFormat="1" ht="15.75" x14ac:dyDescent="0.25">
      <c r="A156"/>
      <c r="B156" s="5"/>
      <c r="C156" s="5"/>
      <c r="D156" s="5"/>
      <c r="F156" s="26"/>
      <c r="G156" s="36"/>
      <c r="H156" s="26"/>
      <c r="I156" s="26"/>
    </row>
    <row r="157" spans="1:9" s="8" customFormat="1" ht="15.75" x14ac:dyDescent="0.25">
      <c r="A157"/>
      <c r="B157" s="5"/>
      <c r="C157" s="5"/>
      <c r="D157" s="5"/>
      <c r="F157" s="26"/>
      <c r="G157" s="36"/>
      <c r="H157" s="26"/>
      <c r="I157" s="26"/>
    </row>
    <row r="158" spans="1:9" s="8" customFormat="1" ht="15.75" x14ac:dyDescent="0.25">
      <c r="A158"/>
      <c r="B158" s="5"/>
      <c r="C158" s="5"/>
      <c r="D158" s="5"/>
      <c r="F158" s="26"/>
      <c r="G158" s="36"/>
      <c r="H158" s="26"/>
      <c r="I158" s="26"/>
    </row>
    <row r="159" spans="1:9" s="8" customFormat="1" ht="15.75" x14ac:dyDescent="0.25">
      <c r="A159"/>
      <c r="B159" s="5"/>
      <c r="C159" s="5"/>
      <c r="D159" s="5"/>
      <c r="F159" s="26"/>
      <c r="G159" s="36"/>
      <c r="H159" s="26"/>
      <c r="I159" s="26"/>
    </row>
    <row r="160" spans="1:9" s="8" customFormat="1" ht="15.75" x14ac:dyDescent="0.25">
      <c r="A160"/>
      <c r="B160" s="5"/>
      <c r="C160" s="5"/>
      <c r="D160" s="5"/>
      <c r="F160" s="26"/>
      <c r="G160" s="36"/>
      <c r="H160" s="26"/>
      <c r="I160" s="26"/>
    </row>
    <row r="161" spans="1:9" s="8" customFormat="1" ht="15.75" x14ac:dyDescent="0.25">
      <c r="A161"/>
      <c r="B161" s="5"/>
      <c r="C161" s="5"/>
      <c r="D161" s="5"/>
      <c r="F161" s="26"/>
      <c r="G161" s="36"/>
      <c r="H161" s="26"/>
      <c r="I161" s="26"/>
    </row>
    <row r="162" spans="1:9" s="8" customFormat="1" ht="15.75" x14ac:dyDescent="0.25">
      <c r="A162"/>
      <c r="B162" s="5"/>
      <c r="C162" s="5"/>
      <c r="D162" s="5"/>
      <c r="F162" s="26"/>
      <c r="G162" s="36"/>
      <c r="H162" s="26"/>
      <c r="I162" s="26"/>
    </row>
    <row r="163" spans="1:9" s="8" customFormat="1" ht="15.75" x14ac:dyDescent="0.25">
      <c r="A163"/>
      <c r="B163" s="5"/>
      <c r="C163" s="5"/>
      <c r="D163" s="5"/>
      <c r="F163" s="26"/>
      <c r="G163" s="36"/>
      <c r="H163" s="26"/>
      <c r="I163" s="26"/>
    </row>
    <row r="164" spans="1:9" s="8" customFormat="1" ht="15.75" x14ac:dyDescent="0.25">
      <c r="A164"/>
      <c r="B164" s="5"/>
      <c r="C164" s="5"/>
      <c r="D164" s="5"/>
      <c r="F164" s="26"/>
      <c r="G164" s="36"/>
      <c r="H164" s="26"/>
      <c r="I164" s="26"/>
    </row>
    <row r="165" spans="1:9" s="8" customFormat="1" ht="15.75" x14ac:dyDescent="0.25">
      <c r="A165"/>
      <c r="B165" s="5"/>
      <c r="C165" s="5"/>
      <c r="D165" s="5"/>
      <c r="F165" s="26"/>
      <c r="G165" s="36"/>
      <c r="H165" s="26"/>
      <c r="I165" s="26"/>
    </row>
    <row r="166" spans="1:9" s="8" customFormat="1" ht="15.75" x14ac:dyDescent="0.25">
      <c r="A166"/>
      <c r="B166" s="5"/>
      <c r="C166" s="5"/>
      <c r="D166" s="5"/>
      <c r="F166" s="26"/>
      <c r="G166" s="36"/>
      <c r="H166" s="26"/>
      <c r="I166" s="26"/>
    </row>
    <row r="167" spans="1:9" s="8" customFormat="1" ht="15.75" x14ac:dyDescent="0.25">
      <c r="A167"/>
      <c r="B167" s="5"/>
      <c r="C167" s="5"/>
      <c r="D167" s="5"/>
      <c r="F167" s="26"/>
      <c r="G167" s="36"/>
      <c r="H167" s="26"/>
      <c r="I167" s="26"/>
    </row>
    <row r="168" spans="1:9" s="8" customFormat="1" ht="15.75" x14ac:dyDescent="0.25">
      <c r="A168"/>
      <c r="B168" s="5"/>
      <c r="C168" s="5"/>
      <c r="D168" s="5"/>
      <c r="F168" s="26"/>
      <c r="G168" s="36"/>
      <c r="H168" s="26"/>
      <c r="I168" s="26"/>
    </row>
    <row r="169" spans="1:9" s="8" customFormat="1" ht="15.75" x14ac:dyDescent="0.25">
      <c r="A169"/>
      <c r="B169" s="5"/>
      <c r="C169" s="5"/>
      <c r="D169" s="5"/>
      <c r="F169" s="26"/>
      <c r="G169" s="36"/>
      <c r="H169" s="26"/>
      <c r="I169" s="26"/>
    </row>
    <row r="170" spans="1:9" s="8" customFormat="1" ht="15.75" x14ac:dyDescent="0.25">
      <c r="A170"/>
      <c r="B170" s="5"/>
      <c r="C170" s="5"/>
      <c r="D170" s="5"/>
      <c r="F170" s="26"/>
      <c r="G170" s="36"/>
      <c r="H170" s="26"/>
      <c r="I170" s="26"/>
    </row>
    <row r="171" spans="1:9" s="8" customFormat="1" ht="15.75" x14ac:dyDescent="0.25">
      <c r="A171"/>
      <c r="B171" s="5"/>
      <c r="C171" s="5"/>
      <c r="D171" s="5"/>
      <c r="F171" s="26"/>
      <c r="G171" s="36"/>
      <c r="H171" s="26"/>
      <c r="I171" s="26"/>
    </row>
    <row r="172" spans="1:9" s="8" customFormat="1" ht="15.75" x14ac:dyDescent="0.25">
      <c r="A172"/>
      <c r="B172" s="5"/>
      <c r="C172" s="5"/>
      <c r="D172" s="5"/>
      <c r="F172" s="26"/>
      <c r="G172" s="36"/>
      <c r="H172" s="26"/>
      <c r="I172" s="26"/>
    </row>
    <row r="173" spans="1:9" s="8" customFormat="1" ht="15.75" x14ac:dyDescent="0.25">
      <c r="A173"/>
      <c r="B173" s="5"/>
      <c r="C173" s="5"/>
      <c r="D173" s="5"/>
      <c r="F173" s="26"/>
      <c r="G173" s="36"/>
      <c r="H173" s="26"/>
      <c r="I173" s="26"/>
    </row>
    <row r="174" spans="1:9" s="8" customFormat="1" ht="15.75" x14ac:dyDescent="0.25">
      <c r="A174"/>
      <c r="B174" s="5"/>
      <c r="C174" s="5"/>
      <c r="D174" s="5"/>
      <c r="F174" s="26"/>
      <c r="G174" s="36"/>
      <c r="H174" s="26"/>
      <c r="I174" s="26"/>
    </row>
    <row r="175" spans="1:9" s="8" customFormat="1" ht="15.75" x14ac:dyDescent="0.25">
      <c r="A175"/>
      <c r="B175" s="5"/>
      <c r="C175" s="5"/>
      <c r="D175" s="5"/>
      <c r="F175" s="26"/>
      <c r="G175" s="36"/>
      <c r="H175" s="26"/>
      <c r="I175" s="26"/>
    </row>
    <row r="176" spans="1:9" s="8" customFormat="1" ht="15.75" x14ac:dyDescent="0.25">
      <c r="A176"/>
      <c r="B176" s="5"/>
      <c r="C176" s="5"/>
      <c r="D176" s="5"/>
      <c r="F176" s="26"/>
      <c r="G176" s="36"/>
      <c r="H176" s="26"/>
      <c r="I176" s="26"/>
    </row>
    <row r="177" spans="1:9" s="8" customFormat="1" ht="15.75" x14ac:dyDescent="0.25">
      <c r="A177"/>
      <c r="B177" s="5"/>
      <c r="C177" s="5"/>
      <c r="D177" s="5"/>
      <c r="F177" s="26"/>
      <c r="G177" s="36"/>
      <c r="H177" s="26"/>
      <c r="I177" s="26"/>
    </row>
    <row r="178" spans="1:9" s="8" customFormat="1" ht="15.75" x14ac:dyDescent="0.25">
      <c r="A178"/>
      <c r="B178" s="5"/>
      <c r="C178" s="5"/>
      <c r="D178" s="5"/>
      <c r="F178" s="26"/>
      <c r="G178" s="36"/>
      <c r="H178" s="26"/>
      <c r="I178" s="26"/>
    </row>
    <row r="179" spans="1:9" s="8" customFormat="1" ht="15.75" x14ac:dyDescent="0.25">
      <c r="A179"/>
      <c r="B179" s="5"/>
      <c r="C179" s="5"/>
      <c r="D179" s="5"/>
      <c r="F179" s="26"/>
      <c r="G179" s="36"/>
      <c r="H179" s="26"/>
      <c r="I179" s="26"/>
    </row>
  </sheetData>
  <sheetProtection algorithmName="SHA-512" hashValue="vXyJoVv0aGzSKuOPs+HmYi3XHmszLoZDd72q+JZWLYpF05ttfSWOcqBMeCaYxF8YKqPYFubu09mR1I2l88zLWA==" saltValue="+IkpTKE6vC68O2uv8BeM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TIPS - BOH</vt:lpstr>
      <vt:lpstr>TIPS - FOH</vt:lpstr>
      <vt:lpstr>LOANS (NO INSTALLMENTS)</vt:lpstr>
      <vt:lpstr>INSTALLMENT LOANS</vt:lpstr>
      <vt:lpstr>SUMMARY</vt:lpstr>
      <vt:lpstr>'INSTALLMENT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Sara Pleadwell</cp:lastModifiedBy>
  <cp:lastPrinted>2024-12-01T11:10:29Z</cp:lastPrinted>
  <dcterms:created xsi:type="dcterms:W3CDTF">2024-07-22T07:28:15Z</dcterms:created>
  <dcterms:modified xsi:type="dcterms:W3CDTF">2026-01-26T03:31:19Z</dcterms:modified>
</cp:coreProperties>
</file>